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d394efa1558042/Documents/Mémoire de Maitrise - PFE/"/>
    </mc:Choice>
  </mc:AlternateContent>
  <xr:revisionPtr revIDLastSave="898" documentId="8_{1311C851-7C01-D443-A275-6987E6560AF1}" xr6:coauthVersionLast="47" xr6:coauthVersionMax="47" xr10:uidLastSave="{5754320D-CD95-434A-B2F5-BFC54F9A65FE}"/>
  <bookViews>
    <workbookView xWindow="-120" yWindow="-120" windowWidth="20730" windowHeight="11160" firstSheet="1" activeTab="2" xr2:uid="{BC3EB9B8-D7DB-6446-A0E8-6ECD82D4138D}"/>
  </bookViews>
  <sheets>
    <sheet name="Prod diagnostic" sheetId="8" r:id="rId1"/>
    <sheet name="Prod 28-08-26" sheetId="1" r:id="rId2"/>
    <sheet name="Prod 31-08-26" sheetId="2" r:id="rId3"/>
    <sheet name="Prod 01-09-26_V12" sheetId="5" r:id="rId4"/>
    <sheet name="Prod 01-09-26_V13" sheetId="3" r:id="rId5"/>
    <sheet name="Prod 01-09-26_V14" sheetId="4" r:id="rId6"/>
    <sheet name="Prod 02-09-26_V14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1" i="8" l="1"/>
  <c r="F47" i="8"/>
  <c r="F57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11" i="8"/>
  <c r="I36" i="5"/>
  <c r="D36" i="5"/>
  <c r="I35" i="5"/>
  <c r="D35" i="5"/>
  <c r="I36" i="4"/>
  <c r="D36" i="4"/>
  <c r="I35" i="4"/>
  <c r="D35" i="4"/>
  <c r="I36" i="3"/>
  <c r="D36" i="3"/>
  <c r="I35" i="3"/>
  <c r="D35" i="3"/>
  <c r="I36" i="2"/>
  <c r="I35" i="2"/>
  <c r="D36" i="2"/>
  <c r="D35" i="2"/>
</calcChain>
</file>

<file path=xl/sharedStrings.xml><?xml version="1.0" encoding="utf-8"?>
<sst xmlns="http://schemas.openxmlformats.org/spreadsheetml/2006/main" count="108" uniqueCount="19">
  <si>
    <t>Consignes de réglages</t>
  </si>
  <si>
    <t>P</t>
  </si>
  <si>
    <t>Tc</t>
  </si>
  <si>
    <t>T1</t>
  </si>
  <si>
    <t>T2</t>
  </si>
  <si>
    <t>T3</t>
  </si>
  <si>
    <t>V</t>
  </si>
  <si>
    <t>FULL</t>
  </si>
  <si>
    <t>Auto2 (B)</t>
  </si>
  <si>
    <t>Poids avec carotte(g)</t>
  </si>
  <si>
    <t>Poids (g)</t>
  </si>
  <si>
    <t>Poids carotte (g)</t>
  </si>
  <si>
    <t>Auto3 (A)</t>
  </si>
  <si>
    <t>Facteurs</t>
  </si>
  <si>
    <t>Poids_avec_carotte</t>
  </si>
  <si>
    <t>epaisseur (mm)</t>
  </si>
  <si>
    <t>-</t>
  </si>
  <si>
    <t>Carotte difficile à enlever</t>
  </si>
  <si>
    <t>0,,72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</si>
</sst>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EFDAD-D4F0-446E-AEF7-362E53EED1E8}">
  <dimension ref="C1:K83"/>
  <sheetViews>
    <sheetView showGridLines="0" topLeftCell="A64" zoomScaleNormal="100" workbookViewId="0">
      <selection activeCell="I6" sqref="I6"/>
    </sheetView>
  </sheetViews>
  <sheetFormatPr defaultColWidth="10.875" defaultRowHeight="14.25"/>
  <cols>
    <col min="1" max="2" width="10.875" style="2"/>
    <col min="3" max="3" width="9" style="2" bestFit="1" customWidth="1"/>
    <col min="4" max="4" width="18.75" style="2" bestFit="1" customWidth="1"/>
    <col min="5" max="5" width="14.625" style="2" bestFit="1" customWidth="1"/>
    <col min="6" max="6" width="13.875" style="2" bestFit="1" customWidth="1"/>
    <col min="7" max="7" width="13.875" style="2" customWidth="1"/>
    <col min="8" max="8" width="9" style="2" bestFit="1" customWidth="1"/>
    <col min="9" max="9" width="18.75" style="2" bestFit="1" customWidth="1"/>
    <col min="10" max="10" width="14.625" style="2" bestFit="1" customWidth="1"/>
    <col min="11" max="11" width="21.625" style="2" bestFit="1" customWidth="1"/>
    <col min="12" max="16384" width="10.875" style="2"/>
  </cols>
  <sheetData>
    <row r="1" spans="3:11">
      <c r="D1" s="2" t="s">
        <v>0</v>
      </c>
    </row>
    <row r="3" spans="3:11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3:11">
      <c r="C4" s="1">
        <v>0.5</v>
      </c>
      <c r="D4" s="1" t="s">
        <v>7</v>
      </c>
      <c r="E4" s="1">
        <v>200</v>
      </c>
      <c r="F4" s="1">
        <v>200</v>
      </c>
      <c r="G4" s="1">
        <v>192</v>
      </c>
      <c r="H4" s="1">
        <v>12.6</v>
      </c>
    </row>
    <row r="6" spans="3:11">
      <c r="C6" s="6" t="s">
        <v>8</v>
      </c>
      <c r="D6" s="3" t="s">
        <v>9</v>
      </c>
      <c r="E6" s="8" t="s">
        <v>10</v>
      </c>
      <c r="F6" s="3" t="s">
        <v>11</v>
      </c>
      <c r="H6" s="6" t="s">
        <v>12</v>
      </c>
      <c r="I6" s="3" t="s">
        <v>9</v>
      </c>
      <c r="J6" s="8" t="s">
        <v>10</v>
      </c>
      <c r="K6" s="3" t="s">
        <v>11</v>
      </c>
    </row>
    <row r="7" spans="3:11">
      <c r="C7" s="6">
        <v>1</v>
      </c>
      <c r="D7" s="3">
        <v>22</v>
      </c>
      <c r="E7" s="6">
        <v>15</v>
      </c>
      <c r="F7" s="11">
        <v>6.8</v>
      </c>
      <c r="H7" s="6">
        <v>1</v>
      </c>
      <c r="I7" s="3">
        <v>18.8</v>
      </c>
      <c r="J7" s="10">
        <v>11.6</v>
      </c>
      <c r="K7" s="3">
        <v>7.1</v>
      </c>
    </row>
    <row r="8" spans="3:11">
      <c r="C8" s="6">
        <v>2</v>
      </c>
      <c r="D8" s="3">
        <v>21</v>
      </c>
      <c r="E8" s="6">
        <v>15</v>
      </c>
      <c r="F8" s="3">
        <v>5.2</v>
      </c>
      <c r="H8" s="6">
        <v>2</v>
      </c>
      <c r="I8" s="3">
        <v>17.5</v>
      </c>
      <c r="J8" s="8">
        <v>14.1</v>
      </c>
      <c r="K8" s="3">
        <v>3.8</v>
      </c>
    </row>
    <row r="9" spans="3:11">
      <c r="C9" s="6">
        <v>3</v>
      </c>
      <c r="D9" s="3">
        <v>19</v>
      </c>
      <c r="E9" s="6">
        <v>12</v>
      </c>
      <c r="F9" s="3">
        <v>7</v>
      </c>
      <c r="H9" s="6">
        <v>3</v>
      </c>
      <c r="I9" s="8">
        <v>17.8</v>
      </c>
      <c r="J9" s="8">
        <v>12.8</v>
      </c>
      <c r="K9" s="3">
        <v>5</v>
      </c>
    </row>
    <row r="10" spans="3:11">
      <c r="C10" s="6">
        <v>4</v>
      </c>
      <c r="D10" s="3">
        <v>21</v>
      </c>
      <c r="E10" s="6">
        <v>14</v>
      </c>
      <c r="F10" s="3">
        <v>7.6</v>
      </c>
      <c r="H10" s="6">
        <v>4</v>
      </c>
      <c r="I10" s="3">
        <v>20.100000000000001</v>
      </c>
      <c r="J10" s="8">
        <v>12.6</v>
      </c>
      <c r="K10" s="3">
        <v>7.7</v>
      </c>
    </row>
    <row r="11" spans="3:11">
      <c r="C11" s="6">
        <v>5</v>
      </c>
      <c r="D11" s="3">
        <v>22</v>
      </c>
      <c r="E11" s="6">
        <v>15</v>
      </c>
      <c r="F11" s="3">
        <f>D11-E11</f>
        <v>7</v>
      </c>
      <c r="H11" s="6">
        <v>5</v>
      </c>
      <c r="I11" s="3">
        <v>19.5</v>
      </c>
      <c r="J11" s="8">
        <v>13.4</v>
      </c>
      <c r="K11" s="3">
        <v>6.2</v>
      </c>
    </row>
    <row r="12" spans="3:11">
      <c r="C12" s="6">
        <v>6</v>
      </c>
      <c r="D12" s="3">
        <v>21</v>
      </c>
      <c r="E12" s="6">
        <v>13</v>
      </c>
      <c r="F12" s="3">
        <f t="shared" ref="F12:F43" si="0">D12-E12</f>
        <v>8</v>
      </c>
      <c r="H12" s="6">
        <v>6</v>
      </c>
      <c r="I12" s="3">
        <v>19.2</v>
      </c>
      <c r="J12" s="8">
        <v>11.8</v>
      </c>
      <c r="K12" s="3">
        <v>7.4</v>
      </c>
    </row>
    <row r="13" spans="3:11">
      <c r="C13" s="6">
        <v>7</v>
      </c>
      <c r="D13" s="3">
        <v>20</v>
      </c>
      <c r="E13" s="6">
        <v>14</v>
      </c>
      <c r="F13" s="3">
        <f t="shared" si="0"/>
        <v>6</v>
      </c>
      <c r="H13" s="6">
        <v>7</v>
      </c>
      <c r="I13" s="3">
        <v>15.7</v>
      </c>
      <c r="J13" s="8">
        <v>12.6</v>
      </c>
      <c r="K13" s="3">
        <v>3.2</v>
      </c>
    </row>
    <row r="14" spans="3:11">
      <c r="C14" s="6">
        <v>8</v>
      </c>
      <c r="D14" s="3">
        <v>20</v>
      </c>
      <c r="E14" s="6">
        <v>13</v>
      </c>
      <c r="F14" s="3">
        <f t="shared" si="0"/>
        <v>7</v>
      </c>
      <c r="H14" s="6">
        <v>8</v>
      </c>
      <c r="I14" s="3">
        <v>18</v>
      </c>
      <c r="J14" s="3">
        <v>12.6</v>
      </c>
      <c r="K14" s="11">
        <v>5.5</v>
      </c>
    </row>
    <row r="15" spans="3:11">
      <c r="C15" s="7">
        <v>9</v>
      </c>
      <c r="D15" s="6">
        <v>19</v>
      </c>
      <c r="E15" s="6">
        <v>12</v>
      </c>
      <c r="F15" s="3">
        <f t="shared" si="0"/>
        <v>7</v>
      </c>
      <c r="H15" s="7">
        <v>9</v>
      </c>
      <c r="I15" s="9">
        <v>19.600000000000001</v>
      </c>
      <c r="J15" s="3">
        <v>13.3</v>
      </c>
      <c r="K15" s="3">
        <v>6.3</v>
      </c>
    </row>
    <row r="16" spans="3:11">
      <c r="C16" s="9">
        <v>10</v>
      </c>
      <c r="D16" s="7">
        <v>18</v>
      </c>
      <c r="E16" s="7">
        <v>13</v>
      </c>
      <c r="F16" s="3">
        <f t="shared" si="0"/>
        <v>5</v>
      </c>
      <c r="H16" s="9">
        <v>10</v>
      </c>
      <c r="I16" s="9">
        <v>17.600000000000001</v>
      </c>
      <c r="J16" s="9">
        <v>12.4</v>
      </c>
      <c r="K16" s="9">
        <v>5.2</v>
      </c>
    </row>
    <row r="17" spans="3:11">
      <c r="C17" s="3">
        <v>11</v>
      </c>
      <c r="D17" s="3">
        <v>19</v>
      </c>
      <c r="E17" s="3">
        <v>12</v>
      </c>
      <c r="F17" s="3">
        <f t="shared" si="0"/>
        <v>7</v>
      </c>
      <c r="H17" s="3">
        <v>11</v>
      </c>
      <c r="I17" s="3">
        <v>22.9</v>
      </c>
      <c r="J17" s="3">
        <v>14.8</v>
      </c>
      <c r="K17" s="3">
        <v>8</v>
      </c>
    </row>
    <row r="18" spans="3:11">
      <c r="C18" s="9">
        <v>12</v>
      </c>
      <c r="D18" s="9">
        <v>21</v>
      </c>
      <c r="E18" s="9">
        <v>14</v>
      </c>
      <c r="F18" s="3">
        <f t="shared" si="0"/>
        <v>7</v>
      </c>
      <c r="H18" s="3">
        <v>12</v>
      </c>
      <c r="I18" s="3">
        <v>16.2</v>
      </c>
      <c r="J18" s="3">
        <v>12.1</v>
      </c>
      <c r="K18" s="3">
        <v>4.2</v>
      </c>
    </row>
    <row r="19" spans="3:11">
      <c r="C19" s="9">
        <v>13</v>
      </c>
      <c r="D19" s="9">
        <v>19</v>
      </c>
      <c r="E19" s="9">
        <v>13</v>
      </c>
      <c r="F19" s="3">
        <f t="shared" si="0"/>
        <v>6</v>
      </c>
      <c r="H19" s="3">
        <v>13</v>
      </c>
      <c r="I19" s="3">
        <v>18.100000000000001</v>
      </c>
      <c r="J19" s="3">
        <v>12.7</v>
      </c>
      <c r="K19" s="3">
        <v>5.5</v>
      </c>
    </row>
    <row r="20" spans="3:11">
      <c r="C20" s="3">
        <v>14</v>
      </c>
      <c r="D20" s="3">
        <v>18</v>
      </c>
      <c r="E20" s="3">
        <v>12</v>
      </c>
      <c r="F20" s="3">
        <f t="shared" si="0"/>
        <v>6</v>
      </c>
      <c r="H20" s="3">
        <v>14</v>
      </c>
      <c r="I20" s="3">
        <v>18.7</v>
      </c>
      <c r="J20" s="3">
        <v>11.8</v>
      </c>
      <c r="K20" s="3">
        <v>7</v>
      </c>
    </row>
    <row r="21" spans="3:11">
      <c r="C21" s="3">
        <v>15</v>
      </c>
      <c r="D21" s="3">
        <v>18</v>
      </c>
      <c r="E21" s="3">
        <v>13</v>
      </c>
      <c r="F21" s="3">
        <f t="shared" si="0"/>
        <v>5</v>
      </c>
      <c r="H21" s="3">
        <v>15</v>
      </c>
      <c r="I21" s="3">
        <v>15</v>
      </c>
      <c r="J21" s="3">
        <v>11.5</v>
      </c>
      <c r="K21" s="3">
        <v>3.4</v>
      </c>
    </row>
    <row r="22" spans="3:11">
      <c r="C22" s="3">
        <v>16</v>
      </c>
      <c r="D22" s="3">
        <v>20</v>
      </c>
      <c r="E22" s="3">
        <v>15</v>
      </c>
      <c r="F22" s="3">
        <f t="shared" si="0"/>
        <v>5</v>
      </c>
      <c r="H22" s="3">
        <v>16</v>
      </c>
      <c r="I22" s="3">
        <v>17.100000000000001</v>
      </c>
      <c r="J22" s="3">
        <v>11.8</v>
      </c>
      <c r="K22" s="3">
        <v>5.6</v>
      </c>
    </row>
    <row r="23" spans="3:11">
      <c r="C23" s="3">
        <v>17</v>
      </c>
      <c r="D23" s="3">
        <v>20</v>
      </c>
      <c r="E23" s="3">
        <v>11</v>
      </c>
      <c r="F23" s="3">
        <f t="shared" si="0"/>
        <v>9</v>
      </c>
      <c r="H23" s="3">
        <v>17</v>
      </c>
      <c r="I23" s="3">
        <v>20.399999999999999</v>
      </c>
      <c r="J23" s="3">
        <v>13.8</v>
      </c>
      <c r="K23" s="3">
        <v>6.7</v>
      </c>
    </row>
    <row r="24" spans="3:11">
      <c r="C24" s="3">
        <v>18</v>
      </c>
      <c r="D24" s="3">
        <v>19</v>
      </c>
      <c r="E24" s="3">
        <v>13</v>
      </c>
      <c r="F24" s="3">
        <f t="shared" si="0"/>
        <v>6</v>
      </c>
      <c r="H24" s="3">
        <v>18</v>
      </c>
      <c r="I24" s="3">
        <v>17.399999999999999</v>
      </c>
      <c r="J24" s="3">
        <v>10</v>
      </c>
      <c r="K24" s="3">
        <v>7.6</v>
      </c>
    </row>
    <row r="25" spans="3:11">
      <c r="C25" s="3">
        <v>19</v>
      </c>
      <c r="D25" s="3">
        <v>20</v>
      </c>
      <c r="E25" s="3">
        <v>13</v>
      </c>
      <c r="F25" s="3">
        <f t="shared" si="0"/>
        <v>7</v>
      </c>
      <c r="H25" s="3">
        <v>19</v>
      </c>
      <c r="I25" s="3">
        <v>18.899999999999999</v>
      </c>
      <c r="J25" s="3">
        <v>11.4</v>
      </c>
      <c r="K25" s="3">
        <v>7.5</v>
      </c>
    </row>
    <row r="26" spans="3:11">
      <c r="C26" s="3">
        <v>20</v>
      </c>
      <c r="D26" s="3">
        <v>19</v>
      </c>
      <c r="E26" s="3">
        <v>12</v>
      </c>
      <c r="F26" s="3">
        <f t="shared" si="0"/>
        <v>7</v>
      </c>
      <c r="H26" s="3">
        <v>20</v>
      </c>
      <c r="I26" s="3">
        <v>22.2</v>
      </c>
      <c r="J26" s="3">
        <v>12</v>
      </c>
      <c r="K26" s="3">
        <v>10.3</v>
      </c>
    </row>
    <row r="27" spans="3:11">
      <c r="C27" s="3">
        <v>21</v>
      </c>
      <c r="D27" s="3">
        <v>20</v>
      </c>
      <c r="E27" s="3">
        <v>13</v>
      </c>
      <c r="F27" s="3">
        <f t="shared" si="0"/>
        <v>7</v>
      </c>
      <c r="H27" s="3">
        <v>21</v>
      </c>
      <c r="I27" s="3">
        <v>20.100000000000001</v>
      </c>
      <c r="J27" s="3">
        <v>15.1</v>
      </c>
      <c r="K27" s="3">
        <v>5</v>
      </c>
    </row>
    <row r="28" spans="3:11">
      <c r="C28" s="3">
        <v>22</v>
      </c>
      <c r="D28" s="3">
        <v>21</v>
      </c>
      <c r="E28" s="3">
        <v>14</v>
      </c>
      <c r="F28" s="3">
        <f t="shared" si="0"/>
        <v>7</v>
      </c>
      <c r="H28" s="3">
        <v>22</v>
      </c>
      <c r="I28" s="3">
        <v>17.8</v>
      </c>
      <c r="J28" s="3">
        <v>12.5</v>
      </c>
      <c r="K28" s="3">
        <v>5.4</v>
      </c>
    </row>
    <row r="29" spans="3:11">
      <c r="C29" s="3">
        <v>23</v>
      </c>
      <c r="D29" s="3">
        <v>21</v>
      </c>
      <c r="E29" s="3">
        <v>14</v>
      </c>
      <c r="F29" s="3">
        <f t="shared" si="0"/>
        <v>7</v>
      </c>
      <c r="H29" s="3">
        <v>23</v>
      </c>
      <c r="I29" s="3">
        <v>26.1</v>
      </c>
      <c r="J29" s="3">
        <v>15.5</v>
      </c>
      <c r="K29" s="3">
        <v>10.7</v>
      </c>
    </row>
    <row r="30" spans="3:11">
      <c r="C30" s="3">
        <v>24</v>
      </c>
      <c r="D30" s="3">
        <v>18</v>
      </c>
      <c r="E30" s="3">
        <v>13</v>
      </c>
      <c r="F30" s="3">
        <f t="shared" si="0"/>
        <v>5</v>
      </c>
      <c r="H30" s="3">
        <v>24</v>
      </c>
      <c r="I30" s="3">
        <v>19.5</v>
      </c>
      <c r="J30" s="3">
        <v>12.5</v>
      </c>
      <c r="K30" s="3">
        <v>7.2</v>
      </c>
    </row>
    <row r="31" spans="3:11">
      <c r="C31" s="3">
        <v>25</v>
      </c>
      <c r="D31" s="3">
        <v>19</v>
      </c>
      <c r="E31" s="3">
        <v>12</v>
      </c>
      <c r="F31" s="3">
        <f t="shared" si="0"/>
        <v>7</v>
      </c>
      <c r="H31" s="3">
        <v>25</v>
      </c>
      <c r="I31" s="3">
        <v>14.5</v>
      </c>
      <c r="J31" s="3">
        <v>11.6</v>
      </c>
      <c r="K31" s="3">
        <v>3.1</v>
      </c>
    </row>
    <row r="32" spans="3:11">
      <c r="C32" s="3">
        <v>26</v>
      </c>
      <c r="D32" s="3">
        <v>18</v>
      </c>
      <c r="E32" s="3">
        <v>14</v>
      </c>
      <c r="F32" s="3">
        <f t="shared" si="0"/>
        <v>4</v>
      </c>
      <c r="H32" s="3">
        <v>26</v>
      </c>
      <c r="I32" s="3">
        <v>17</v>
      </c>
      <c r="J32" s="3">
        <v>13.1</v>
      </c>
      <c r="K32" s="3">
        <v>3.9</v>
      </c>
    </row>
    <row r="33" spans="3:11">
      <c r="C33" s="3">
        <v>27</v>
      </c>
      <c r="D33" s="3">
        <v>20</v>
      </c>
      <c r="E33" s="3">
        <v>12</v>
      </c>
      <c r="F33" s="3">
        <f t="shared" si="0"/>
        <v>8</v>
      </c>
      <c r="H33" s="3">
        <v>27</v>
      </c>
      <c r="I33" s="3">
        <v>19.399999999999999</v>
      </c>
      <c r="J33" s="3">
        <v>11.9</v>
      </c>
      <c r="K33" s="3">
        <v>7.3</v>
      </c>
    </row>
    <row r="34" spans="3:11">
      <c r="C34" s="3">
        <v>28</v>
      </c>
      <c r="D34" s="3">
        <v>18</v>
      </c>
      <c r="E34" s="3">
        <v>12</v>
      </c>
      <c r="F34" s="3">
        <f t="shared" si="0"/>
        <v>6</v>
      </c>
      <c r="H34" s="3">
        <v>28</v>
      </c>
      <c r="I34" s="3">
        <v>19.899999999999999</v>
      </c>
      <c r="J34" s="3">
        <v>11.1</v>
      </c>
      <c r="K34" s="3">
        <v>9</v>
      </c>
    </row>
    <row r="35" spans="3:11">
      <c r="C35" s="3">
        <v>29</v>
      </c>
      <c r="D35" s="3">
        <v>18</v>
      </c>
      <c r="E35" s="3">
        <v>13</v>
      </c>
      <c r="F35" s="3">
        <f t="shared" si="0"/>
        <v>5</v>
      </c>
      <c r="H35" s="3">
        <v>29</v>
      </c>
      <c r="I35" s="3">
        <v>16.600000000000001</v>
      </c>
      <c r="J35" s="3">
        <v>12.7</v>
      </c>
      <c r="K35" s="3">
        <v>4.0999999999999996</v>
      </c>
    </row>
    <row r="36" spans="3:11">
      <c r="C36" s="3">
        <v>30</v>
      </c>
      <c r="D36" s="3">
        <v>19</v>
      </c>
      <c r="E36" s="3">
        <v>12</v>
      </c>
      <c r="F36" s="3">
        <f t="shared" si="0"/>
        <v>7</v>
      </c>
      <c r="H36" s="3">
        <v>30</v>
      </c>
      <c r="I36" s="3">
        <v>17.2</v>
      </c>
      <c r="J36" s="3">
        <v>12.7</v>
      </c>
      <c r="K36" s="3">
        <v>4.7</v>
      </c>
    </row>
    <row r="37" spans="3:11">
      <c r="C37" s="3">
        <v>31</v>
      </c>
      <c r="D37" s="3">
        <v>20</v>
      </c>
      <c r="E37" s="3">
        <v>13</v>
      </c>
      <c r="F37" s="3">
        <f t="shared" si="0"/>
        <v>7</v>
      </c>
      <c r="H37" s="3">
        <v>31</v>
      </c>
      <c r="I37" s="3">
        <v>18.899999999999999</v>
      </c>
      <c r="J37" s="3">
        <v>11.1</v>
      </c>
      <c r="K37" s="3">
        <v>7.8</v>
      </c>
    </row>
    <row r="38" spans="3:11">
      <c r="C38" s="3">
        <v>32</v>
      </c>
      <c r="D38" s="3">
        <v>19</v>
      </c>
      <c r="E38" s="3">
        <v>13</v>
      </c>
      <c r="F38" s="3">
        <f t="shared" si="0"/>
        <v>6</v>
      </c>
      <c r="H38" s="3">
        <v>32</v>
      </c>
      <c r="I38" s="3">
        <v>18.7</v>
      </c>
      <c r="J38" s="3">
        <v>13.1</v>
      </c>
      <c r="K38" s="3">
        <v>5.7</v>
      </c>
    </row>
    <row r="39" spans="3:11">
      <c r="C39" s="3">
        <v>33</v>
      </c>
      <c r="D39" s="3">
        <v>19</v>
      </c>
      <c r="E39" s="3">
        <v>13</v>
      </c>
      <c r="F39" s="3">
        <f t="shared" si="0"/>
        <v>6</v>
      </c>
      <c r="H39" s="3">
        <v>33</v>
      </c>
      <c r="I39" s="3">
        <v>20</v>
      </c>
      <c r="J39" s="3">
        <v>10.4</v>
      </c>
      <c r="K39" s="3">
        <v>9.5</v>
      </c>
    </row>
    <row r="40" spans="3:11">
      <c r="C40" s="3">
        <v>34</v>
      </c>
      <c r="D40" s="3">
        <v>19</v>
      </c>
      <c r="E40" s="3">
        <v>13</v>
      </c>
      <c r="F40" s="3">
        <f t="shared" si="0"/>
        <v>6</v>
      </c>
      <c r="H40" s="3">
        <v>34</v>
      </c>
      <c r="I40" s="3">
        <v>18.7</v>
      </c>
      <c r="J40" s="3">
        <v>11.7</v>
      </c>
      <c r="K40" s="3">
        <v>7.1</v>
      </c>
    </row>
    <row r="41" spans="3:11">
      <c r="C41" s="3">
        <v>35</v>
      </c>
      <c r="D41" s="3">
        <v>18</v>
      </c>
      <c r="E41" s="3">
        <v>11</v>
      </c>
      <c r="F41" s="3">
        <f t="shared" si="0"/>
        <v>7</v>
      </c>
      <c r="H41" s="3">
        <v>35</v>
      </c>
      <c r="I41" s="3">
        <v>18.399999999999999</v>
      </c>
      <c r="J41" s="3">
        <v>11.9</v>
      </c>
      <c r="K41" s="3">
        <v>6.5</v>
      </c>
    </row>
    <row r="42" spans="3:11">
      <c r="C42" s="3">
        <v>36</v>
      </c>
      <c r="D42" s="3">
        <v>18</v>
      </c>
      <c r="E42" s="3">
        <v>12</v>
      </c>
      <c r="F42" s="3">
        <f t="shared" si="0"/>
        <v>6</v>
      </c>
      <c r="H42" s="3">
        <v>36</v>
      </c>
      <c r="I42" s="3">
        <v>21.1</v>
      </c>
      <c r="J42" s="3">
        <v>13.1</v>
      </c>
      <c r="K42" s="3">
        <v>8.6</v>
      </c>
    </row>
    <row r="43" spans="3:11">
      <c r="C43" s="3">
        <v>37</v>
      </c>
      <c r="D43" s="9">
        <v>19</v>
      </c>
      <c r="E43" s="9">
        <v>12</v>
      </c>
      <c r="F43" s="9">
        <f t="shared" si="0"/>
        <v>7</v>
      </c>
      <c r="H43" s="9">
        <v>37</v>
      </c>
      <c r="I43" s="9">
        <v>21.5</v>
      </c>
      <c r="J43" s="9">
        <v>12.7</v>
      </c>
      <c r="K43" s="9">
        <v>8.8000000000000007</v>
      </c>
    </row>
    <row r="44" spans="3:11">
      <c r="C44" s="8">
        <v>38</v>
      </c>
      <c r="D44" s="1">
        <v>20</v>
      </c>
      <c r="E44" s="1">
        <v>13</v>
      </c>
      <c r="F44" s="1">
        <v>8</v>
      </c>
      <c r="H44" s="1">
        <v>38</v>
      </c>
      <c r="I44" s="1">
        <v>19.2</v>
      </c>
      <c r="J44" s="1">
        <v>11</v>
      </c>
      <c r="K44" s="1">
        <v>8.1999999999999993</v>
      </c>
    </row>
    <row r="45" spans="3:11">
      <c r="C45" s="8">
        <v>39</v>
      </c>
      <c r="D45" s="1">
        <v>19</v>
      </c>
      <c r="E45" s="1">
        <v>12</v>
      </c>
      <c r="F45" s="1">
        <v>8</v>
      </c>
      <c r="H45" s="1">
        <v>39</v>
      </c>
      <c r="I45" s="1">
        <v>19.100000000000001</v>
      </c>
      <c r="J45" s="1">
        <v>11</v>
      </c>
      <c r="K45" s="1">
        <v>8.1999999999999993</v>
      </c>
    </row>
    <row r="46" spans="3:11">
      <c r="C46" s="8">
        <v>40</v>
      </c>
      <c r="D46" s="1">
        <v>21</v>
      </c>
      <c r="E46" s="1">
        <v>14</v>
      </c>
      <c r="F46" s="1">
        <v>6.4</v>
      </c>
      <c r="H46" s="1">
        <v>40</v>
      </c>
      <c r="I46" s="1">
        <v>20.2</v>
      </c>
      <c r="J46" s="1">
        <v>10.8</v>
      </c>
      <c r="K46" s="1">
        <v>9.6</v>
      </c>
    </row>
    <row r="47" spans="3:11">
      <c r="C47" s="8">
        <v>41</v>
      </c>
      <c r="D47" s="1">
        <v>19</v>
      </c>
      <c r="E47" s="1">
        <v>13</v>
      </c>
      <c r="F47" s="1">
        <f>D47-E47</f>
        <v>6</v>
      </c>
      <c r="H47" s="1">
        <v>41</v>
      </c>
      <c r="I47" s="1">
        <v>20.100000000000001</v>
      </c>
      <c r="J47" s="1">
        <v>13.5</v>
      </c>
      <c r="K47" s="1">
        <v>7.2</v>
      </c>
    </row>
    <row r="48" spans="3:11">
      <c r="C48" s="8">
        <v>42</v>
      </c>
      <c r="D48" s="1">
        <v>18</v>
      </c>
      <c r="E48" s="1">
        <v>12</v>
      </c>
      <c r="F48" s="1">
        <v>5.9</v>
      </c>
      <c r="H48" s="1">
        <v>42</v>
      </c>
      <c r="I48" s="1">
        <v>19.3</v>
      </c>
      <c r="J48" s="1">
        <v>12.1</v>
      </c>
      <c r="K48" s="1">
        <v>7.3</v>
      </c>
    </row>
    <row r="49" spans="3:11">
      <c r="C49" s="8">
        <v>43</v>
      </c>
      <c r="D49" s="1">
        <v>18</v>
      </c>
      <c r="E49" s="1">
        <v>13</v>
      </c>
      <c r="F49" s="1">
        <v>5.6</v>
      </c>
      <c r="H49" s="1">
        <v>43</v>
      </c>
      <c r="I49" s="1">
        <v>20</v>
      </c>
      <c r="J49" s="1">
        <v>12.9</v>
      </c>
      <c r="K49" s="1">
        <v>7.7</v>
      </c>
    </row>
    <row r="50" spans="3:11">
      <c r="C50" s="8">
        <v>44</v>
      </c>
      <c r="D50" s="1">
        <v>19</v>
      </c>
      <c r="E50" s="1">
        <v>12</v>
      </c>
      <c r="F50" s="1">
        <v>6.6</v>
      </c>
      <c r="H50" s="1">
        <v>44</v>
      </c>
      <c r="I50" s="1">
        <v>21.6</v>
      </c>
      <c r="J50" s="1">
        <v>12.1</v>
      </c>
      <c r="K50" s="1">
        <v>10.3</v>
      </c>
    </row>
    <row r="51" spans="3:11">
      <c r="C51" s="8">
        <v>45</v>
      </c>
      <c r="D51" s="1">
        <v>18</v>
      </c>
      <c r="E51" s="1">
        <v>13</v>
      </c>
      <c r="F51" s="1">
        <v>5.2</v>
      </c>
      <c r="H51" s="1">
        <v>45</v>
      </c>
      <c r="I51" s="1">
        <v>20.3</v>
      </c>
      <c r="J51" s="1">
        <v>14.4</v>
      </c>
      <c r="K51" s="1">
        <v>6.2</v>
      </c>
    </row>
    <row r="52" spans="3:11">
      <c r="C52" s="8">
        <v>46</v>
      </c>
      <c r="D52" s="1">
        <v>20</v>
      </c>
      <c r="E52" s="1">
        <v>12</v>
      </c>
      <c r="F52" s="1">
        <v>8</v>
      </c>
      <c r="H52" s="1">
        <v>46</v>
      </c>
      <c r="I52" s="1">
        <v>20.3</v>
      </c>
      <c r="J52" s="1">
        <v>10.7</v>
      </c>
      <c r="K52" s="1">
        <v>9.5</v>
      </c>
    </row>
    <row r="53" spans="3:11">
      <c r="C53" s="8">
        <v>47</v>
      </c>
      <c r="D53" s="1">
        <v>23</v>
      </c>
      <c r="E53" s="1">
        <v>15</v>
      </c>
      <c r="F53" s="1">
        <v>8</v>
      </c>
      <c r="H53" s="1">
        <v>47</v>
      </c>
      <c r="I53" s="1">
        <v>21.8</v>
      </c>
      <c r="J53" s="1">
        <v>14</v>
      </c>
      <c r="K53" s="1">
        <v>6.9</v>
      </c>
    </row>
    <row r="54" spans="3:11">
      <c r="C54" s="8">
        <v>48</v>
      </c>
      <c r="D54" s="1">
        <v>13</v>
      </c>
      <c r="E54" s="1">
        <v>9</v>
      </c>
      <c r="F54" s="1">
        <v>4.4000000000000004</v>
      </c>
      <c r="H54" s="1">
        <v>48</v>
      </c>
      <c r="I54" s="1">
        <v>17.3</v>
      </c>
      <c r="J54" s="1">
        <v>11.3</v>
      </c>
      <c r="K54" s="1">
        <v>5.9</v>
      </c>
    </row>
    <row r="55" spans="3:11">
      <c r="C55" s="8">
        <v>49</v>
      </c>
      <c r="D55" s="1">
        <v>24</v>
      </c>
      <c r="E55" s="1">
        <v>15</v>
      </c>
      <c r="F55" s="1">
        <v>10</v>
      </c>
      <c r="H55" s="1">
        <v>49</v>
      </c>
      <c r="I55" s="1">
        <v>21</v>
      </c>
      <c r="J55" s="1">
        <v>14.2</v>
      </c>
      <c r="K55" s="1">
        <v>7.3</v>
      </c>
    </row>
    <row r="56" spans="3:11">
      <c r="C56" s="8">
        <v>50</v>
      </c>
      <c r="D56" s="1">
        <v>17</v>
      </c>
      <c r="E56" s="1">
        <v>12</v>
      </c>
      <c r="F56" s="1">
        <v>4.2</v>
      </c>
      <c r="H56" s="1">
        <v>50</v>
      </c>
      <c r="I56" s="1">
        <v>19.3</v>
      </c>
      <c r="J56" s="1">
        <v>13.4</v>
      </c>
      <c r="K56" s="1">
        <v>6</v>
      </c>
    </row>
    <row r="57" spans="3:11">
      <c r="C57" s="8">
        <v>51</v>
      </c>
      <c r="D57" s="1">
        <v>15</v>
      </c>
      <c r="E57" s="1">
        <v>7.4</v>
      </c>
      <c r="F57" s="1">
        <f>D57-E57</f>
        <v>7.6</v>
      </c>
      <c r="H57" s="1">
        <v>51</v>
      </c>
      <c r="I57" s="1">
        <v>18.100000000000001</v>
      </c>
      <c r="J57" s="1">
        <v>11.5</v>
      </c>
      <c r="K57" s="1">
        <v>6.5</v>
      </c>
    </row>
    <row r="58" spans="3:11">
      <c r="C58" s="8">
        <v>52</v>
      </c>
      <c r="D58" s="1">
        <v>13</v>
      </c>
      <c r="E58" s="1">
        <v>12.5</v>
      </c>
      <c r="F58" s="1">
        <v>7</v>
      </c>
      <c r="H58" s="1">
        <v>52</v>
      </c>
      <c r="I58" s="1">
        <v>18.3</v>
      </c>
      <c r="J58" s="1">
        <v>12</v>
      </c>
      <c r="K58" s="1">
        <v>6.5</v>
      </c>
    </row>
    <row r="59" spans="3:11">
      <c r="C59" s="8">
        <v>53</v>
      </c>
      <c r="D59" s="1">
        <v>18</v>
      </c>
      <c r="E59" s="1">
        <v>13</v>
      </c>
      <c r="F59" s="1">
        <v>4.5999999999999996</v>
      </c>
      <c r="H59" s="1">
        <v>53</v>
      </c>
      <c r="I59" s="1">
        <v>18</v>
      </c>
      <c r="J59" s="1">
        <v>12.4</v>
      </c>
      <c r="K59" s="1">
        <v>5.5</v>
      </c>
    </row>
    <row r="60" spans="3:11">
      <c r="C60" s="8">
        <v>54</v>
      </c>
      <c r="D60" s="1">
        <v>21</v>
      </c>
      <c r="E60" s="1">
        <v>14</v>
      </c>
      <c r="F60" s="1">
        <v>7.2</v>
      </c>
      <c r="H60" s="1">
        <v>54</v>
      </c>
      <c r="I60" s="1">
        <v>17.3</v>
      </c>
      <c r="J60" s="1">
        <v>12.6</v>
      </c>
      <c r="K60" s="1">
        <v>4.8</v>
      </c>
    </row>
    <row r="61" spans="3:11">
      <c r="C61" s="8">
        <v>55</v>
      </c>
      <c r="D61" s="1">
        <v>20</v>
      </c>
      <c r="E61" s="1">
        <v>14</v>
      </c>
      <c r="F61" s="1">
        <v>6.2</v>
      </c>
      <c r="H61" s="1">
        <v>55</v>
      </c>
      <c r="I61" s="1">
        <v>15.6</v>
      </c>
      <c r="J61" s="1">
        <v>13.1</v>
      </c>
      <c r="K61" s="1">
        <v>2.9</v>
      </c>
    </row>
    <row r="62" spans="3:11">
      <c r="C62" s="8">
        <v>56</v>
      </c>
      <c r="D62" s="1">
        <v>13</v>
      </c>
      <c r="E62" s="1">
        <v>12</v>
      </c>
      <c r="F62" s="1">
        <v>6</v>
      </c>
      <c r="H62" s="1">
        <v>56</v>
      </c>
      <c r="I62" s="1">
        <v>21.6</v>
      </c>
      <c r="J62" s="1">
        <v>13.5</v>
      </c>
      <c r="K62" s="1">
        <v>8.1999999999999993</v>
      </c>
    </row>
    <row r="63" spans="3:11">
      <c r="C63" s="8">
        <v>57</v>
      </c>
      <c r="D63" s="1">
        <v>18</v>
      </c>
      <c r="E63" s="1">
        <v>12</v>
      </c>
      <c r="F63" s="1">
        <v>6.9</v>
      </c>
      <c r="H63" s="1">
        <v>57</v>
      </c>
      <c r="I63" s="1">
        <v>19.399999999999999</v>
      </c>
      <c r="J63" s="1">
        <v>12.2</v>
      </c>
      <c r="K63" s="1">
        <v>7.3</v>
      </c>
    </row>
    <row r="64" spans="3:11">
      <c r="C64" s="8">
        <v>58</v>
      </c>
      <c r="D64" s="1">
        <v>22</v>
      </c>
      <c r="E64" s="1">
        <v>14</v>
      </c>
      <c r="F64" s="1">
        <v>8</v>
      </c>
      <c r="H64" s="1">
        <v>58</v>
      </c>
      <c r="I64" s="1">
        <v>18.5</v>
      </c>
      <c r="J64" s="1">
        <v>12.5</v>
      </c>
      <c r="K64" s="1">
        <v>6</v>
      </c>
    </row>
    <row r="65" spans="3:11">
      <c r="C65" s="8">
        <v>59</v>
      </c>
      <c r="D65" s="1">
        <v>22</v>
      </c>
      <c r="E65" s="1">
        <v>13</v>
      </c>
      <c r="F65" s="1">
        <v>10</v>
      </c>
      <c r="H65" s="1">
        <v>59</v>
      </c>
      <c r="I65" s="1">
        <v>19.8</v>
      </c>
      <c r="J65" s="1">
        <v>12.5</v>
      </c>
      <c r="K65" s="1">
        <v>7.4</v>
      </c>
    </row>
    <row r="66" spans="3:11">
      <c r="C66" s="8">
        <v>60</v>
      </c>
      <c r="D66" s="1">
        <v>22</v>
      </c>
      <c r="E66" s="1">
        <v>14</v>
      </c>
      <c r="F66" s="1">
        <v>9</v>
      </c>
      <c r="H66" s="1">
        <v>60</v>
      </c>
      <c r="I66" s="1">
        <v>18.399999999999999</v>
      </c>
      <c r="J66" s="1">
        <v>13</v>
      </c>
      <c r="K66" s="1">
        <v>5.8</v>
      </c>
    </row>
    <row r="67" spans="3:11">
      <c r="C67" s="8">
        <v>61</v>
      </c>
      <c r="D67" s="1">
        <v>22</v>
      </c>
      <c r="E67" s="1">
        <v>13</v>
      </c>
      <c r="F67" s="1">
        <v>9</v>
      </c>
      <c r="H67" s="1">
        <v>61</v>
      </c>
      <c r="I67" s="1">
        <v>18.7</v>
      </c>
      <c r="J67" s="1">
        <v>12.4</v>
      </c>
      <c r="K67" s="1">
        <v>6.5</v>
      </c>
    </row>
    <row r="68" spans="3:11">
      <c r="C68" s="8">
        <v>62</v>
      </c>
      <c r="D68" s="1">
        <v>22</v>
      </c>
      <c r="E68" s="1">
        <v>13</v>
      </c>
      <c r="F68" s="1">
        <v>9</v>
      </c>
      <c r="H68" s="1">
        <v>62</v>
      </c>
      <c r="I68" s="1">
        <v>20</v>
      </c>
      <c r="J68" s="1">
        <v>11.3</v>
      </c>
      <c r="K68" s="1">
        <v>8.9</v>
      </c>
    </row>
    <row r="69" spans="3:11">
      <c r="C69" s="8">
        <v>63</v>
      </c>
      <c r="D69" s="1">
        <v>18</v>
      </c>
      <c r="E69" s="1">
        <v>13</v>
      </c>
      <c r="F69" s="1">
        <v>5.5</v>
      </c>
      <c r="H69" s="1">
        <v>63</v>
      </c>
      <c r="I69" s="1">
        <v>20.6</v>
      </c>
      <c r="J69" s="1">
        <v>13.4</v>
      </c>
      <c r="K69" s="1">
        <v>7.2</v>
      </c>
    </row>
    <row r="70" spans="3:11">
      <c r="C70" s="8">
        <v>64</v>
      </c>
      <c r="D70" s="1">
        <v>17</v>
      </c>
      <c r="E70" s="1">
        <v>10</v>
      </c>
      <c r="F70" s="1">
        <v>6.9</v>
      </c>
      <c r="H70" s="1">
        <v>64</v>
      </c>
      <c r="I70" s="1">
        <v>19.2</v>
      </c>
      <c r="J70" s="1">
        <v>15.3</v>
      </c>
      <c r="K70" s="1">
        <v>4.0999999999999996</v>
      </c>
    </row>
    <row r="71" spans="3:11">
      <c r="C71" s="8">
        <v>65</v>
      </c>
      <c r="D71" s="1">
        <v>20</v>
      </c>
      <c r="E71" s="1">
        <v>14</v>
      </c>
      <c r="F71" s="1">
        <f>D71-E71</f>
        <v>6</v>
      </c>
      <c r="H71" s="1">
        <v>65</v>
      </c>
      <c r="I71" s="1">
        <v>18.2</v>
      </c>
      <c r="J71" s="1">
        <v>13.7</v>
      </c>
      <c r="K71" s="1">
        <v>4.5999999999999996</v>
      </c>
    </row>
    <row r="72" spans="3:11">
      <c r="C72" s="8">
        <v>66</v>
      </c>
      <c r="D72" s="1">
        <v>19</v>
      </c>
      <c r="E72" s="1">
        <v>12</v>
      </c>
      <c r="F72" s="1">
        <v>6.6</v>
      </c>
      <c r="H72" s="1">
        <v>66</v>
      </c>
      <c r="I72" s="1">
        <v>18.100000000000001</v>
      </c>
      <c r="J72" s="1">
        <v>12.1</v>
      </c>
      <c r="K72" s="1">
        <v>6.1</v>
      </c>
    </row>
    <row r="73" spans="3:11">
      <c r="C73" s="8">
        <v>67</v>
      </c>
      <c r="D73" s="1">
        <v>18</v>
      </c>
      <c r="E73" s="1">
        <v>12</v>
      </c>
      <c r="F73" s="1">
        <v>6.2</v>
      </c>
      <c r="H73" s="1">
        <v>67</v>
      </c>
      <c r="I73" s="1">
        <v>18.3</v>
      </c>
      <c r="J73" s="1">
        <v>13.3</v>
      </c>
      <c r="K73" s="1">
        <v>5</v>
      </c>
    </row>
    <row r="74" spans="3:11">
      <c r="C74" s="8">
        <v>68</v>
      </c>
      <c r="D74" s="1">
        <v>19</v>
      </c>
      <c r="E74" s="1">
        <v>12</v>
      </c>
      <c r="F74" s="1">
        <v>8</v>
      </c>
      <c r="H74" s="1">
        <v>68</v>
      </c>
      <c r="I74" s="1">
        <v>19.399999999999999</v>
      </c>
      <c r="J74" s="1">
        <v>11.5</v>
      </c>
      <c r="K74" s="1">
        <v>7.9</v>
      </c>
    </row>
    <row r="75" spans="3:11">
      <c r="C75" s="8">
        <v>69</v>
      </c>
      <c r="D75" s="1">
        <v>19</v>
      </c>
      <c r="E75" s="1">
        <v>12</v>
      </c>
      <c r="F75" s="1">
        <v>7.3</v>
      </c>
      <c r="H75" s="1">
        <v>69</v>
      </c>
      <c r="I75" s="1">
        <v>19.7</v>
      </c>
      <c r="J75" s="1">
        <v>12.3</v>
      </c>
      <c r="K75" s="1">
        <v>7.2</v>
      </c>
    </row>
    <row r="76" spans="3:11">
      <c r="C76" s="8">
        <v>70</v>
      </c>
      <c r="D76" s="1">
        <v>18.8</v>
      </c>
      <c r="E76" s="1">
        <v>12</v>
      </c>
      <c r="F76" s="1">
        <v>6.8</v>
      </c>
      <c r="H76" s="1">
        <v>70</v>
      </c>
      <c r="I76" s="1">
        <v>21.9</v>
      </c>
      <c r="J76" s="1">
        <v>13.7</v>
      </c>
      <c r="K76" s="1">
        <v>8.1999999999999993</v>
      </c>
    </row>
    <row r="77" spans="3:11">
      <c r="C77" s="8">
        <v>71</v>
      </c>
      <c r="D77" s="1">
        <v>17.8</v>
      </c>
      <c r="E77" s="1">
        <v>12.3</v>
      </c>
      <c r="F77" s="1">
        <v>5.6</v>
      </c>
      <c r="H77" s="1">
        <v>71</v>
      </c>
      <c r="I77" s="1">
        <v>17.100000000000001</v>
      </c>
      <c r="J77" s="1">
        <v>13.8</v>
      </c>
      <c r="K77" s="1">
        <v>3.3</v>
      </c>
    </row>
    <row r="78" spans="3:11">
      <c r="C78" s="8">
        <v>72</v>
      </c>
      <c r="D78" s="1">
        <v>16</v>
      </c>
      <c r="E78" s="1">
        <v>12.4</v>
      </c>
      <c r="F78" s="1">
        <v>3.5</v>
      </c>
      <c r="H78" s="1">
        <v>72</v>
      </c>
      <c r="I78" s="1">
        <v>18.100000000000001</v>
      </c>
      <c r="J78" s="1">
        <v>12.9</v>
      </c>
      <c r="K78" s="1">
        <v>5</v>
      </c>
    </row>
    <row r="79" spans="3:11">
      <c r="C79" s="8">
        <v>73</v>
      </c>
      <c r="D79" s="1">
        <v>21.5</v>
      </c>
      <c r="E79" s="1">
        <v>13.5</v>
      </c>
      <c r="F79" s="1">
        <v>7.9</v>
      </c>
      <c r="H79" s="1">
        <v>73</v>
      </c>
      <c r="I79" s="1">
        <v>20.8</v>
      </c>
      <c r="J79" s="1">
        <v>13.3</v>
      </c>
      <c r="K79" s="1">
        <v>7.5</v>
      </c>
    </row>
    <row r="80" spans="3:11">
      <c r="C80" s="8">
        <v>74</v>
      </c>
      <c r="D80" s="1">
        <v>21.6</v>
      </c>
      <c r="E80" s="1">
        <v>13.6</v>
      </c>
      <c r="F80" s="1">
        <v>8</v>
      </c>
      <c r="H80" s="1">
        <v>74</v>
      </c>
      <c r="I80" s="1">
        <v>20</v>
      </c>
      <c r="J80" s="1">
        <v>13.2</v>
      </c>
      <c r="K80" s="1">
        <v>6.9</v>
      </c>
    </row>
    <row r="81" spans="3:11">
      <c r="C81" s="10">
        <v>75</v>
      </c>
      <c r="D81" s="4">
        <v>19.100000000000001</v>
      </c>
      <c r="E81" s="4">
        <v>11.4</v>
      </c>
      <c r="F81" s="4">
        <v>8.1</v>
      </c>
      <c r="H81" s="1">
        <v>75</v>
      </c>
      <c r="I81" s="1">
        <v>17.600000000000001</v>
      </c>
      <c r="J81" s="1">
        <v>12.3</v>
      </c>
      <c r="K81" s="1">
        <v>5.4</v>
      </c>
    </row>
    <row r="82" spans="3:11">
      <c r="C82" s="1">
        <v>76</v>
      </c>
      <c r="D82" s="1">
        <v>18.899999999999999</v>
      </c>
      <c r="E82" s="1">
        <v>11.8</v>
      </c>
      <c r="F82" s="1">
        <v>7.3</v>
      </c>
      <c r="H82" s="1">
        <v>76</v>
      </c>
      <c r="I82" s="1">
        <v>21.9</v>
      </c>
      <c r="J82" s="1">
        <v>15.5</v>
      </c>
      <c r="K82" s="1">
        <v>6.7</v>
      </c>
    </row>
    <row r="83" spans="3:11">
      <c r="C83" s="1">
        <v>77</v>
      </c>
      <c r="D83" s="1">
        <v>20</v>
      </c>
      <c r="E83" s="1">
        <v>13.8</v>
      </c>
      <c r="F83" s="1">
        <v>6.2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C96AC-0984-6240-A7F9-45AF0C269B85}">
  <dimension ref="C1:K26"/>
  <sheetViews>
    <sheetView showGridLines="0" workbookViewId="0">
      <selection activeCell="D6" sqref="D6"/>
    </sheetView>
  </sheetViews>
  <sheetFormatPr defaultColWidth="10.875" defaultRowHeight="14.25"/>
  <cols>
    <col min="1" max="2" width="10.875" style="2"/>
    <col min="3" max="3" width="9" style="2" bestFit="1" customWidth="1"/>
    <col min="4" max="4" width="17.25" style="2" bestFit="1" customWidth="1"/>
    <col min="5" max="5" width="14.625" style="2" bestFit="1" customWidth="1"/>
    <col min="6" max="6" width="13.875" style="2" bestFit="1" customWidth="1"/>
    <col min="7" max="7" width="13.875" style="2" customWidth="1"/>
    <col min="8" max="8" width="9" style="2" bestFit="1" customWidth="1"/>
    <col min="9" max="9" width="17.25" style="2" bestFit="1" customWidth="1"/>
    <col min="10" max="10" width="14.625" style="2" bestFit="1" customWidth="1"/>
    <col min="11" max="11" width="21.625" style="2" bestFit="1" customWidth="1"/>
    <col min="12" max="16384" width="10.875" style="2"/>
  </cols>
  <sheetData>
    <row r="1" spans="3:11">
      <c r="C1" s="2" t="s">
        <v>13</v>
      </c>
    </row>
    <row r="3" spans="3:11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3:11">
      <c r="C4" s="1">
        <v>0.5</v>
      </c>
      <c r="D4" s="1">
        <v>3</v>
      </c>
      <c r="E4" s="1">
        <v>180</v>
      </c>
      <c r="F4" s="1">
        <v>172</v>
      </c>
      <c r="G4" s="1">
        <v>165</v>
      </c>
      <c r="H4" s="1">
        <v>15</v>
      </c>
    </row>
    <row r="6" spans="3:11">
      <c r="C6" s="1" t="s">
        <v>8</v>
      </c>
      <c r="D6" s="1" t="s">
        <v>14</v>
      </c>
      <c r="E6" s="1" t="s">
        <v>11</v>
      </c>
      <c r="F6" s="1" t="s">
        <v>15</v>
      </c>
      <c r="H6" s="1" t="s">
        <v>12</v>
      </c>
      <c r="I6" s="1" t="s">
        <v>14</v>
      </c>
      <c r="J6" s="1" t="s">
        <v>11</v>
      </c>
      <c r="K6" s="1" t="s">
        <v>15</v>
      </c>
    </row>
    <row r="7" spans="3:11">
      <c r="C7" s="1">
        <v>1</v>
      </c>
      <c r="D7" s="1">
        <v>20.399999999999999</v>
      </c>
      <c r="E7" s="1">
        <v>5.5</v>
      </c>
      <c r="F7" s="1">
        <v>1.18</v>
      </c>
      <c r="H7" s="1">
        <v>1</v>
      </c>
      <c r="I7" s="1">
        <v>31</v>
      </c>
      <c r="J7" s="1" t="s">
        <v>16</v>
      </c>
      <c r="K7" s="1" t="s">
        <v>16</v>
      </c>
    </row>
    <row r="8" spans="3:11">
      <c r="C8" s="1">
        <v>2</v>
      </c>
      <c r="D8" s="1">
        <v>19.5</v>
      </c>
      <c r="E8" s="1">
        <v>4.5999999999999996</v>
      </c>
      <c r="F8" s="1">
        <v>1.07</v>
      </c>
      <c r="H8" s="1">
        <v>2</v>
      </c>
      <c r="I8" s="1">
        <v>23</v>
      </c>
      <c r="J8" s="1">
        <v>8.6999999999999993</v>
      </c>
      <c r="K8" s="1">
        <v>0.84</v>
      </c>
    </row>
    <row r="9" spans="3:11">
      <c r="C9" s="1">
        <v>3</v>
      </c>
      <c r="D9" s="1">
        <v>23.6</v>
      </c>
      <c r="E9" s="1">
        <v>8.6</v>
      </c>
      <c r="F9" s="1">
        <v>1.1499999999999999</v>
      </c>
      <c r="H9" s="1">
        <v>3</v>
      </c>
      <c r="I9" s="1">
        <v>23.4</v>
      </c>
      <c r="J9" s="1">
        <v>8.4</v>
      </c>
      <c r="K9" s="1">
        <v>0.93</v>
      </c>
    </row>
    <row r="10" spans="3:11">
      <c r="C10" s="1">
        <v>4</v>
      </c>
      <c r="D10" s="1">
        <v>21.4</v>
      </c>
      <c r="E10" s="1">
        <v>6.4</v>
      </c>
      <c r="F10" s="1">
        <v>0.96</v>
      </c>
      <c r="H10" s="1">
        <v>4</v>
      </c>
      <c r="I10" s="1">
        <v>21</v>
      </c>
      <c r="J10" s="1">
        <v>5.8</v>
      </c>
      <c r="K10" s="1">
        <v>0.85</v>
      </c>
    </row>
    <row r="11" spans="3:11">
      <c r="C11" s="1">
        <v>5</v>
      </c>
      <c r="D11" s="1">
        <v>20</v>
      </c>
      <c r="E11" s="1">
        <v>5.0999999999999996</v>
      </c>
      <c r="F11" s="1">
        <v>1.1100000000000001</v>
      </c>
      <c r="H11" s="1">
        <v>5</v>
      </c>
      <c r="I11" s="1">
        <v>22.2</v>
      </c>
      <c r="J11" s="1">
        <v>7.5</v>
      </c>
      <c r="K11" s="1">
        <v>0.73</v>
      </c>
    </row>
    <row r="12" spans="3:11">
      <c r="C12" s="1">
        <v>6</v>
      </c>
      <c r="D12" s="1">
        <v>20</v>
      </c>
      <c r="E12" s="1">
        <v>5.3</v>
      </c>
      <c r="F12" s="1">
        <v>1.1100000000000001</v>
      </c>
      <c r="H12" s="1">
        <v>6</v>
      </c>
      <c r="I12" s="1">
        <v>20.100000000000001</v>
      </c>
      <c r="J12" s="1">
        <v>6.2</v>
      </c>
      <c r="K12" s="1">
        <v>0.56999999999999995</v>
      </c>
    </row>
    <row r="13" spans="3:11">
      <c r="C13" s="1">
        <v>7</v>
      </c>
      <c r="D13" s="1">
        <v>25.5</v>
      </c>
      <c r="E13" s="1">
        <v>10.8</v>
      </c>
      <c r="F13" s="1">
        <v>1.05</v>
      </c>
      <c r="H13" s="1">
        <v>7</v>
      </c>
      <c r="I13" s="1">
        <v>21.6</v>
      </c>
      <c r="J13" s="1">
        <v>6.6</v>
      </c>
      <c r="K13" s="1">
        <v>0.74</v>
      </c>
    </row>
    <row r="14" spans="3:11">
      <c r="C14" s="1">
        <v>8</v>
      </c>
      <c r="D14" s="1">
        <v>20.8</v>
      </c>
      <c r="E14" s="1">
        <v>6.6</v>
      </c>
      <c r="F14" s="1">
        <v>1.05</v>
      </c>
      <c r="H14" s="1">
        <v>8</v>
      </c>
      <c r="I14" s="1">
        <v>26.2</v>
      </c>
      <c r="J14" s="1">
        <v>11.7</v>
      </c>
      <c r="K14" s="1">
        <v>0.78</v>
      </c>
    </row>
    <row r="15" spans="3:11">
      <c r="C15" s="1">
        <v>9</v>
      </c>
      <c r="D15" s="1">
        <v>18.2</v>
      </c>
      <c r="E15" s="1">
        <v>4.5</v>
      </c>
      <c r="F15" s="1">
        <v>1</v>
      </c>
      <c r="H15" s="1">
        <v>9</v>
      </c>
      <c r="I15" s="1">
        <v>19.899999999999999</v>
      </c>
      <c r="J15" s="1">
        <v>6.1</v>
      </c>
      <c r="K15" s="1">
        <v>0.56999999999999995</v>
      </c>
    </row>
    <row r="16" spans="3:11">
      <c r="C16" s="1">
        <v>10</v>
      </c>
      <c r="D16" s="1">
        <v>20.9</v>
      </c>
      <c r="E16" s="1">
        <v>6</v>
      </c>
      <c r="F16" s="1">
        <v>1.1599999999999999</v>
      </c>
      <c r="H16" s="1">
        <v>10</v>
      </c>
      <c r="I16" s="1">
        <v>17.399999999999999</v>
      </c>
      <c r="J16" s="1">
        <v>3.7</v>
      </c>
      <c r="K16" s="1">
        <v>0.64</v>
      </c>
    </row>
    <row r="17" spans="3:11">
      <c r="C17" s="1">
        <v>11</v>
      </c>
      <c r="D17" s="1">
        <v>20.8</v>
      </c>
      <c r="E17" s="1">
        <v>6.5</v>
      </c>
      <c r="F17" s="1">
        <v>1.1100000000000001</v>
      </c>
      <c r="H17" s="1">
        <v>11</v>
      </c>
      <c r="I17" s="1">
        <v>21.5</v>
      </c>
      <c r="J17" s="1">
        <v>7.5</v>
      </c>
      <c r="K17" s="1">
        <v>0.67</v>
      </c>
    </row>
    <row r="18" spans="3:11">
      <c r="C18" s="1">
        <v>12</v>
      </c>
      <c r="D18" s="1">
        <v>19.2</v>
      </c>
      <c r="E18" s="1">
        <v>5.3</v>
      </c>
      <c r="F18" s="1">
        <v>1.29</v>
      </c>
      <c r="H18" s="1">
        <v>12</v>
      </c>
      <c r="I18" s="1">
        <v>19.8</v>
      </c>
      <c r="J18" s="1">
        <v>6.3</v>
      </c>
      <c r="K18" s="1">
        <v>0.9</v>
      </c>
    </row>
    <row r="19" spans="3:11">
      <c r="C19" s="1">
        <v>13</v>
      </c>
      <c r="D19" s="1">
        <v>17.5</v>
      </c>
      <c r="E19" s="1">
        <v>3.8</v>
      </c>
      <c r="F19" s="1">
        <v>0.97</v>
      </c>
      <c r="H19" s="1">
        <v>13</v>
      </c>
      <c r="I19" s="1">
        <v>22.7</v>
      </c>
      <c r="J19" s="1">
        <v>8.1999999999999993</v>
      </c>
      <c r="K19" s="1">
        <v>0.71</v>
      </c>
    </row>
    <row r="20" spans="3:11">
      <c r="C20" s="1">
        <v>14</v>
      </c>
      <c r="D20" s="1">
        <v>20</v>
      </c>
      <c r="E20" s="1">
        <v>6.7</v>
      </c>
      <c r="F20" s="1">
        <v>1.1200000000000001</v>
      </c>
      <c r="H20" s="1">
        <v>14</v>
      </c>
      <c r="I20" s="1">
        <v>24.8</v>
      </c>
      <c r="J20" s="1">
        <v>9.6999999999999993</v>
      </c>
      <c r="K20" s="1">
        <v>0.83</v>
      </c>
    </row>
    <row r="21" spans="3:11">
      <c r="C21" s="1">
        <v>15</v>
      </c>
      <c r="D21" s="1">
        <v>20.100000000000001</v>
      </c>
      <c r="E21" s="1">
        <v>6.1</v>
      </c>
      <c r="F21" s="1">
        <v>1.07</v>
      </c>
      <c r="H21" s="1">
        <v>15</v>
      </c>
      <c r="I21" s="1">
        <v>17.899999999999999</v>
      </c>
      <c r="J21" s="1">
        <v>5.4</v>
      </c>
      <c r="K21" s="1" t="s">
        <v>16</v>
      </c>
    </row>
    <row r="22" spans="3:11">
      <c r="C22" s="1">
        <v>16</v>
      </c>
      <c r="D22" s="1">
        <v>21.4</v>
      </c>
      <c r="E22" s="1">
        <v>6.4</v>
      </c>
      <c r="F22" s="1">
        <v>1.18</v>
      </c>
      <c r="H22" s="1">
        <v>16</v>
      </c>
      <c r="I22" s="1">
        <v>21.3</v>
      </c>
      <c r="J22" s="1">
        <v>6.2</v>
      </c>
      <c r="K22" s="1">
        <v>0.93</v>
      </c>
    </row>
    <row r="23" spans="3:11">
      <c r="C23" s="1">
        <v>17</v>
      </c>
      <c r="D23" s="1">
        <v>18.2</v>
      </c>
      <c r="E23" s="1">
        <v>4.3</v>
      </c>
      <c r="F23" s="1">
        <v>1.06</v>
      </c>
      <c r="H23" s="1">
        <v>17</v>
      </c>
      <c r="I23" s="1">
        <v>23.6</v>
      </c>
      <c r="J23" s="1">
        <v>8.4</v>
      </c>
      <c r="K23" s="1">
        <v>0.79</v>
      </c>
    </row>
    <row r="24" spans="3:11">
      <c r="C24" s="1">
        <v>18</v>
      </c>
      <c r="D24" s="1">
        <v>22.4</v>
      </c>
      <c r="E24" s="1">
        <v>7.2</v>
      </c>
      <c r="F24" s="1">
        <v>1.1000000000000001</v>
      </c>
    </row>
    <row r="25" spans="3:11">
      <c r="C25" s="1">
        <v>19</v>
      </c>
      <c r="D25" s="1">
        <v>20.9</v>
      </c>
      <c r="E25" s="1">
        <v>6.8</v>
      </c>
      <c r="F25" s="1">
        <v>1.05</v>
      </c>
      <c r="J25" s="2" t="s">
        <v>16</v>
      </c>
      <c r="K25" s="2" t="s">
        <v>17</v>
      </c>
    </row>
    <row r="26" spans="3:11">
      <c r="C26" s="1">
        <v>20</v>
      </c>
      <c r="D26" s="1">
        <v>18.5</v>
      </c>
      <c r="E26" s="1">
        <v>4.5999999999999996</v>
      </c>
      <c r="F26" s="1">
        <v>1.1100000000000001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3422-0F7C-4AF6-8108-1C8F21B2A045}">
  <dimension ref="C1:K36"/>
  <sheetViews>
    <sheetView showGridLines="0" tabSelected="1" topLeftCell="B6" workbookViewId="0">
      <selection activeCell="D7" sqref="D7"/>
    </sheetView>
  </sheetViews>
  <sheetFormatPr defaultColWidth="10.875" defaultRowHeight="14.25"/>
  <cols>
    <col min="1" max="2" width="10.875" style="2"/>
    <col min="3" max="3" width="9" style="2" bestFit="1" customWidth="1"/>
    <col min="4" max="4" width="17.25" style="2" bestFit="1" customWidth="1"/>
    <col min="5" max="5" width="14.625" style="2" bestFit="1" customWidth="1"/>
    <col min="6" max="6" width="13.875" style="2" bestFit="1" customWidth="1"/>
    <col min="7" max="7" width="13.875" style="2" customWidth="1"/>
    <col min="8" max="8" width="9" style="2" bestFit="1" customWidth="1"/>
    <col min="9" max="9" width="17.25" style="2" bestFit="1" customWidth="1"/>
    <col min="10" max="10" width="14.625" style="2" bestFit="1" customWidth="1"/>
    <col min="11" max="11" width="21.625" style="2" bestFit="1" customWidth="1"/>
    <col min="12" max="16384" width="10.875" style="2"/>
  </cols>
  <sheetData>
    <row r="1" spans="3:11">
      <c r="C1" s="2" t="s">
        <v>13</v>
      </c>
    </row>
    <row r="3" spans="3:11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3:11">
      <c r="C4" s="1">
        <v>0.5</v>
      </c>
      <c r="D4" s="1">
        <v>3</v>
      </c>
      <c r="E4" s="1">
        <v>180</v>
      </c>
      <c r="F4" s="1">
        <v>172</v>
      </c>
      <c r="G4" s="1">
        <v>165</v>
      </c>
      <c r="H4" s="1">
        <v>15</v>
      </c>
    </row>
    <row r="6" spans="3:11">
      <c r="C6" s="1" t="s">
        <v>8</v>
      </c>
      <c r="D6" s="1" t="s">
        <v>14</v>
      </c>
      <c r="E6" s="1" t="s">
        <v>11</v>
      </c>
      <c r="F6" s="1" t="s">
        <v>15</v>
      </c>
      <c r="H6" s="1" t="s">
        <v>12</v>
      </c>
      <c r="I6" s="1" t="s">
        <v>14</v>
      </c>
      <c r="J6" s="1" t="s">
        <v>11</v>
      </c>
      <c r="K6" s="1" t="s">
        <v>15</v>
      </c>
    </row>
    <row r="7" spans="3:11">
      <c r="C7" s="1">
        <v>1</v>
      </c>
      <c r="D7" s="1">
        <v>25.1</v>
      </c>
      <c r="E7" s="1">
        <v>9.8000000000000007</v>
      </c>
      <c r="F7" s="1">
        <v>1.1100000000000001</v>
      </c>
      <c r="H7" s="1">
        <v>1</v>
      </c>
      <c r="I7" s="1">
        <v>22</v>
      </c>
      <c r="J7" s="1">
        <v>6.1</v>
      </c>
      <c r="K7" s="1">
        <v>1.17</v>
      </c>
    </row>
    <row r="8" spans="3:11">
      <c r="C8" s="1">
        <v>2</v>
      </c>
      <c r="D8" s="1">
        <v>19.899999999999999</v>
      </c>
      <c r="E8" s="1">
        <v>6.7</v>
      </c>
      <c r="F8" s="1">
        <v>1.01</v>
      </c>
      <c r="H8" s="1">
        <v>2</v>
      </c>
      <c r="I8" s="1">
        <v>21.5</v>
      </c>
      <c r="J8" s="1">
        <v>7.2</v>
      </c>
      <c r="K8" s="1">
        <v>0.98</v>
      </c>
    </row>
    <row r="9" spans="3:11">
      <c r="C9" s="1">
        <v>3</v>
      </c>
      <c r="D9" s="1">
        <v>17.3</v>
      </c>
      <c r="E9" s="1">
        <v>4.3</v>
      </c>
      <c r="F9" s="1">
        <v>0.92</v>
      </c>
      <c r="H9" s="1">
        <v>3</v>
      </c>
      <c r="I9" s="1">
        <v>21.5</v>
      </c>
      <c r="J9" s="1">
        <v>8.3000000000000007</v>
      </c>
      <c r="K9" s="1">
        <v>0.81</v>
      </c>
    </row>
    <row r="10" spans="3:11">
      <c r="C10" s="1">
        <v>4</v>
      </c>
      <c r="D10" s="1">
        <v>18.5</v>
      </c>
      <c r="E10" s="1">
        <v>5.5</v>
      </c>
      <c r="F10" s="1">
        <v>0.63</v>
      </c>
      <c r="H10" s="1">
        <v>4</v>
      </c>
      <c r="I10" s="1">
        <v>21.4</v>
      </c>
      <c r="J10" s="1">
        <v>7.4</v>
      </c>
      <c r="K10" s="1">
        <v>0.88</v>
      </c>
    </row>
    <row r="11" spans="3:11">
      <c r="C11" s="1">
        <v>5</v>
      </c>
      <c r="D11" s="1">
        <v>17</v>
      </c>
      <c r="E11" s="1">
        <v>2.7</v>
      </c>
      <c r="F11" s="1">
        <v>1.1100000000000001</v>
      </c>
      <c r="H11" s="1">
        <v>5</v>
      </c>
      <c r="I11" s="1">
        <v>17.7</v>
      </c>
      <c r="J11" s="1">
        <v>4.7</v>
      </c>
      <c r="K11" s="1">
        <v>0.96</v>
      </c>
    </row>
    <row r="12" spans="3:11">
      <c r="C12" s="1">
        <v>6</v>
      </c>
      <c r="D12" s="1">
        <v>20.100000000000001</v>
      </c>
      <c r="E12" s="1">
        <v>5.3</v>
      </c>
      <c r="F12" s="1">
        <v>1.24</v>
      </c>
      <c r="H12" s="1">
        <v>6</v>
      </c>
      <c r="I12" s="1">
        <v>21.9</v>
      </c>
      <c r="J12" s="1">
        <v>7.2</v>
      </c>
      <c r="K12" s="1">
        <v>0.96</v>
      </c>
    </row>
    <row r="13" spans="3:11">
      <c r="C13" s="1">
        <v>7</v>
      </c>
      <c r="D13" s="1">
        <v>17.2</v>
      </c>
      <c r="E13" s="1">
        <v>3.4</v>
      </c>
      <c r="F13" s="1">
        <v>1.07</v>
      </c>
      <c r="H13" s="1">
        <v>7</v>
      </c>
      <c r="I13" s="1">
        <v>20</v>
      </c>
      <c r="J13" s="1">
        <v>6.1</v>
      </c>
      <c r="K13" s="1">
        <v>0.86</v>
      </c>
    </row>
    <row r="14" spans="3:11">
      <c r="C14" s="1">
        <v>8</v>
      </c>
      <c r="D14" s="1">
        <v>19.7</v>
      </c>
      <c r="E14" s="1">
        <v>6.2</v>
      </c>
      <c r="F14" s="1">
        <v>0.92</v>
      </c>
      <c r="H14" s="1">
        <v>8</v>
      </c>
      <c r="I14" s="1">
        <v>17.2</v>
      </c>
      <c r="J14" s="1">
        <v>2.8</v>
      </c>
      <c r="K14" s="1">
        <v>0.93</v>
      </c>
    </row>
    <row r="15" spans="3:11">
      <c r="C15" s="1">
        <v>9</v>
      </c>
      <c r="D15" s="1">
        <v>18.3</v>
      </c>
      <c r="E15" s="1">
        <v>4.9000000000000004</v>
      </c>
      <c r="F15" s="1">
        <v>0.96</v>
      </c>
      <c r="H15" s="1">
        <v>9</v>
      </c>
      <c r="I15" s="1">
        <v>22</v>
      </c>
      <c r="J15" s="1">
        <v>7.5</v>
      </c>
      <c r="K15" s="1">
        <v>0.94</v>
      </c>
    </row>
    <row r="16" spans="3:11">
      <c r="C16" s="1">
        <v>10</v>
      </c>
      <c r="D16" s="1">
        <v>19.899999999999999</v>
      </c>
      <c r="E16" s="1">
        <v>5.2</v>
      </c>
      <c r="F16" s="1">
        <v>1.05</v>
      </c>
      <c r="H16" s="1">
        <v>10</v>
      </c>
      <c r="I16" s="1">
        <v>21.2</v>
      </c>
      <c r="J16" s="1">
        <v>7.7</v>
      </c>
      <c r="K16" s="1">
        <v>0.88</v>
      </c>
    </row>
    <row r="17" spans="3:11">
      <c r="C17" s="1">
        <v>11</v>
      </c>
      <c r="D17" s="1">
        <v>17.399999999999999</v>
      </c>
      <c r="E17" s="1">
        <v>3.5</v>
      </c>
      <c r="F17" s="1">
        <v>0.91</v>
      </c>
      <c r="H17" s="1">
        <v>11</v>
      </c>
      <c r="I17" s="1">
        <v>19.3</v>
      </c>
      <c r="J17" s="1">
        <v>6.4</v>
      </c>
      <c r="K17" s="1">
        <v>0.86</v>
      </c>
    </row>
    <row r="18" spans="3:11">
      <c r="C18" s="1">
        <v>12</v>
      </c>
      <c r="D18" s="1">
        <v>15</v>
      </c>
      <c r="E18" s="1">
        <v>0.6</v>
      </c>
      <c r="F18" s="1">
        <v>1.02</v>
      </c>
      <c r="H18" s="1">
        <v>12</v>
      </c>
      <c r="I18" s="1">
        <v>21.8</v>
      </c>
      <c r="J18" s="1">
        <v>9.4</v>
      </c>
      <c r="K18" s="1">
        <v>0.85</v>
      </c>
    </row>
    <row r="19" spans="3:11">
      <c r="C19" s="1">
        <v>13</v>
      </c>
      <c r="D19" s="1">
        <v>18.100000000000001</v>
      </c>
      <c r="E19" s="1">
        <v>4.2</v>
      </c>
      <c r="F19" s="1">
        <v>1</v>
      </c>
      <c r="H19" s="1">
        <v>13</v>
      </c>
      <c r="I19" s="1">
        <v>19.5</v>
      </c>
      <c r="J19" s="1">
        <v>5.0999999999999996</v>
      </c>
      <c r="K19" s="1">
        <v>1.38</v>
      </c>
    </row>
    <row r="20" spans="3:11">
      <c r="C20" s="1">
        <v>14</v>
      </c>
      <c r="D20" s="1">
        <v>19.7</v>
      </c>
      <c r="E20" s="1">
        <v>5.5</v>
      </c>
      <c r="F20" s="1">
        <v>1.1100000000000001</v>
      </c>
      <c r="H20" s="1">
        <v>14</v>
      </c>
      <c r="I20" s="1">
        <v>19.100000000000001</v>
      </c>
      <c r="J20" s="1">
        <v>5</v>
      </c>
      <c r="K20" s="1">
        <v>0.83</v>
      </c>
    </row>
    <row r="21" spans="3:11">
      <c r="C21" s="1">
        <v>15</v>
      </c>
      <c r="D21" s="1">
        <v>18.899999999999999</v>
      </c>
      <c r="E21" s="1">
        <v>5.2</v>
      </c>
      <c r="F21" s="1">
        <v>1.2</v>
      </c>
      <c r="H21" s="1">
        <v>15</v>
      </c>
      <c r="I21" s="1">
        <v>21.5</v>
      </c>
      <c r="J21" s="1">
        <v>7.2</v>
      </c>
      <c r="K21" s="1">
        <v>0.92</v>
      </c>
    </row>
    <row r="22" spans="3:11">
      <c r="C22" s="1">
        <v>16</v>
      </c>
      <c r="D22" s="1">
        <v>17.600000000000001</v>
      </c>
      <c r="E22" s="1">
        <v>4.3</v>
      </c>
      <c r="F22" s="1">
        <v>1.01</v>
      </c>
      <c r="H22" s="1">
        <v>16</v>
      </c>
      <c r="I22" s="1">
        <v>19.7</v>
      </c>
      <c r="J22" s="1">
        <v>6.5</v>
      </c>
      <c r="K22" s="1">
        <v>0.9</v>
      </c>
    </row>
    <row r="23" spans="3:11">
      <c r="C23" s="1">
        <v>17</v>
      </c>
      <c r="D23" s="1">
        <v>19.8</v>
      </c>
      <c r="E23" s="1">
        <v>6.6</v>
      </c>
      <c r="F23" s="1">
        <v>0.88</v>
      </c>
      <c r="H23" s="4">
        <v>17</v>
      </c>
      <c r="I23" s="4">
        <v>21.9</v>
      </c>
      <c r="J23" s="4">
        <v>8.6999999999999993</v>
      </c>
      <c r="K23" s="4">
        <v>0.74</v>
      </c>
    </row>
    <row r="24" spans="3:11">
      <c r="C24" s="1">
        <v>18</v>
      </c>
      <c r="D24" s="1">
        <v>20</v>
      </c>
      <c r="E24" s="1">
        <v>6.9</v>
      </c>
      <c r="F24" s="1">
        <v>0.87</v>
      </c>
      <c r="H24" s="1">
        <v>18</v>
      </c>
      <c r="I24" s="3">
        <v>21.3</v>
      </c>
      <c r="J24" s="3">
        <v>8</v>
      </c>
      <c r="K24" s="3" t="s">
        <v>18</v>
      </c>
    </row>
    <row r="25" spans="3:11">
      <c r="C25" s="1">
        <v>19</v>
      </c>
      <c r="D25" s="1">
        <v>20.100000000000001</v>
      </c>
      <c r="E25" s="1">
        <v>5.7</v>
      </c>
      <c r="F25" s="1">
        <v>1.01</v>
      </c>
      <c r="H25" s="4">
        <v>19</v>
      </c>
      <c r="I25" s="3">
        <v>19.7</v>
      </c>
      <c r="J25" s="3">
        <v>5.5</v>
      </c>
      <c r="K25" s="3">
        <v>0.98</v>
      </c>
    </row>
    <row r="26" spans="3:11">
      <c r="C26" s="4">
        <v>20</v>
      </c>
      <c r="D26" s="4">
        <v>17.7</v>
      </c>
      <c r="E26" s="4">
        <v>3.3</v>
      </c>
      <c r="F26" s="4">
        <v>0.87</v>
      </c>
      <c r="H26" s="1">
        <v>20</v>
      </c>
      <c r="I26" s="3">
        <v>19.100000000000001</v>
      </c>
      <c r="J26" s="3">
        <v>5.8</v>
      </c>
      <c r="K26" s="3">
        <v>0.86</v>
      </c>
    </row>
    <row r="27" spans="3:11">
      <c r="C27" s="1">
        <v>21</v>
      </c>
      <c r="D27" s="3">
        <v>19.899999999999999</v>
      </c>
      <c r="E27" s="3">
        <v>5.6</v>
      </c>
      <c r="F27" s="3">
        <v>0.76</v>
      </c>
      <c r="H27" s="4">
        <v>21</v>
      </c>
      <c r="I27" s="3">
        <v>19.399999999999999</v>
      </c>
      <c r="J27" s="3">
        <v>5.0999999999999996</v>
      </c>
      <c r="K27" s="3">
        <v>0.83</v>
      </c>
    </row>
    <row r="28" spans="3:11">
      <c r="C28" s="4">
        <v>22</v>
      </c>
      <c r="D28" s="3">
        <v>19.100000000000001</v>
      </c>
      <c r="E28" s="3">
        <v>4.8</v>
      </c>
      <c r="F28" s="3">
        <v>1.05</v>
      </c>
      <c r="H28" s="1">
        <v>22</v>
      </c>
      <c r="I28" s="3">
        <v>21.5</v>
      </c>
      <c r="J28" s="3">
        <v>7.1</v>
      </c>
      <c r="K28" s="3">
        <v>0.86</v>
      </c>
    </row>
    <row r="29" spans="3:11">
      <c r="C29" s="4">
        <v>23</v>
      </c>
      <c r="D29" s="3">
        <v>18.8</v>
      </c>
      <c r="E29" s="3">
        <v>4.7</v>
      </c>
      <c r="F29" s="3">
        <v>1.1499999999999999</v>
      </c>
    </row>
    <row r="30" spans="3:11">
      <c r="C30" s="3">
        <v>24</v>
      </c>
      <c r="D30" s="5">
        <v>17.8</v>
      </c>
      <c r="E30" s="3">
        <v>4.7</v>
      </c>
      <c r="F30" s="3">
        <v>0.99</v>
      </c>
    </row>
    <row r="35" spans="4:9">
      <c r="D35" s="2">
        <f>MIN(D7:D30)</f>
        <v>15</v>
      </c>
      <c r="I35" s="2">
        <f>MIN(I7:I28)</f>
        <v>17.2</v>
      </c>
    </row>
    <row r="36" spans="4:9">
      <c r="D36" s="2">
        <f>MAX(D7:D30)</f>
        <v>25.1</v>
      </c>
      <c r="I36" s="2">
        <f>MAX(I7:I28)</f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AFC8A-06A6-4BA9-8A78-F75354E26A68}">
  <dimension ref="C1:I36"/>
  <sheetViews>
    <sheetView showGridLines="0" workbookViewId="0">
      <selection activeCell="I7" sqref="I7:I10"/>
    </sheetView>
  </sheetViews>
  <sheetFormatPr defaultColWidth="10.875" defaultRowHeight="14.25"/>
  <cols>
    <col min="1" max="2" width="10.875" style="2"/>
    <col min="3" max="3" width="9" style="2" bestFit="1" customWidth="1"/>
    <col min="4" max="4" width="18.75" style="2" bestFit="1" customWidth="1"/>
    <col min="5" max="5" width="14.625" style="2" bestFit="1" customWidth="1"/>
    <col min="6" max="6" width="13.875" style="2" bestFit="1" customWidth="1"/>
    <col min="7" max="7" width="13.875" style="2" customWidth="1"/>
    <col min="8" max="8" width="9" style="2" bestFit="1" customWidth="1"/>
    <col min="9" max="9" width="18.75" style="2" bestFit="1" customWidth="1"/>
    <col min="10" max="10" width="14.625" style="2" bestFit="1" customWidth="1"/>
    <col min="11" max="11" width="21.625" style="2" bestFit="1" customWidth="1"/>
    <col min="12" max="16384" width="10.875" style="2"/>
  </cols>
  <sheetData>
    <row r="1" spans="3:9">
      <c r="C1" s="2" t="s">
        <v>13</v>
      </c>
    </row>
    <row r="3" spans="3:9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3:9">
      <c r="C4" s="1">
        <v>0.5</v>
      </c>
      <c r="D4" s="1">
        <v>3</v>
      </c>
      <c r="E4" s="1">
        <v>180</v>
      </c>
      <c r="F4" s="1">
        <v>172</v>
      </c>
      <c r="G4" s="1">
        <v>165</v>
      </c>
      <c r="H4" s="1">
        <v>12</v>
      </c>
    </row>
    <row r="6" spans="3:9">
      <c r="C6" s="6" t="s">
        <v>8</v>
      </c>
      <c r="D6" s="3" t="s">
        <v>9</v>
      </c>
      <c r="H6" s="6" t="s">
        <v>12</v>
      </c>
      <c r="I6" s="3" t="s">
        <v>9</v>
      </c>
    </row>
    <row r="7" spans="3:9">
      <c r="C7" s="6">
        <v>1</v>
      </c>
      <c r="D7" s="3">
        <v>13.1</v>
      </c>
      <c r="H7" s="6">
        <v>1</v>
      </c>
      <c r="I7" s="3">
        <v>14.6</v>
      </c>
    </row>
    <row r="8" spans="3:9">
      <c r="C8" s="6">
        <v>2</v>
      </c>
      <c r="D8" s="3">
        <v>13.4</v>
      </c>
      <c r="H8" s="7">
        <v>2</v>
      </c>
      <c r="I8" s="9">
        <v>14.3</v>
      </c>
    </row>
    <row r="9" spans="3:9">
      <c r="C9" s="6">
        <v>3</v>
      </c>
      <c r="D9" s="3">
        <v>13.1</v>
      </c>
      <c r="H9" s="3">
        <v>3</v>
      </c>
      <c r="I9" s="3">
        <v>13.2</v>
      </c>
    </row>
    <row r="10" spans="3:9">
      <c r="C10" s="7">
        <v>4</v>
      </c>
      <c r="D10" s="9">
        <v>11.6</v>
      </c>
      <c r="H10" s="3">
        <v>4</v>
      </c>
      <c r="I10" s="3">
        <v>10.4</v>
      </c>
    </row>
    <row r="11" spans="3:9">
      <c r="C11" s="3">
        <v>5</v>
      </c>
      <c r="D11" s="3">
        <v>13.4</v>
      </c>
    </row>
    <row r="12" spans="3:9">
      <c r="C12" s="3">
        <v>6</v>
      </c>
      <c r="D12" s="3">
        <v>13.4</v>
      </c>
    </row>
    <row r="35" spans="4:9">
      <c r="D35" s="2">
        <f>MIN(D7:D30)</f>
        <v>11.6</v>
      </c>
      <c r="I35" s="2">
        <f>MIN(I7:I28)</f>
        <v>10.4</v>
      </c>
    </row>
    <row r="36" spans="4:9">
      <c r="D36" s="2">
        <f>MAX(D7:D30)</f>
        <v>13.4</v>
      </c>
      <c r="I36" s="2">
        <f>MAX(I7:I28)</f>
        <v>14.6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D9353-6A42-42AE-857E-D9D9C783E982}">
  <dimension ref="C1:K36"/>
  <sheetViews>
    <sheetView showGridLines="0" topLeftCell="B6" workbookViewId="0">
      <selection activeCell="I7" sqref="I7"/>
    </sheetView>
  </sheetViews>
  <sheetFormatPr defaultColWidth="10.875" defaultRowHeight="14.25"/>
  <cols>
    <col min="1" max="2" width="10.875" style="2"/>
    <col min="3" max="3" width="9" style="2" bestFit="1" customWidth="1"/>
    <col min="4" max="4" width="18.75" style="2" bestFit="1" customWidth="1"/>
    <col min="5" max="5" width="8.375" style="2" bestFit="1" customWidth="1"/>
    <col min="6" max="6" width="14.875" style="2" bestFit="1" customWidth="1"/>
    <col min="7" max="7" width="13.875" style="2" customWidth="1"/>
    <col min="8" max="8" width="9" style="2" bestFit="1" customWidth="1"/>
    <col min="9" max="9" width="18.75" style="2" bestFit="1" customWidth="1"/>
    <col min="10" max="10" width="8.375" style="2" bestFit="1" customWidth="1"/>
    <col min="11" max="11" width="14.875" style="2" bestFit="1" customWidth="1"/>
    <col min="12" max="16384" width="10.875" style="2"/>
  </cols>
  <sheetData>
    <row r="1" spans="3:11">
      <c r="C1" s="2" t="s">
        <v>13</v>
      </c>
    </row>
    <row r="3" spans="3:11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3:11">
      <c r="C4" s="1">
        <v>0.5</v>
      </c>
      <c r="D4" s="1">
        <v>3</v>
      </c>
      <c r="E4" s="1">
        <v>180</v>
      </c>
      <c r="F4" s="1">
        <v>172</v>
      </c>
      <c r="G4" s="1">
        <v>165</v>
      </c>
      <c r="H4" s="1">
        <v>13</v>
      </c>
    </row>
    <row r="6" spans="3:11" ht="18" customHeight="1">
      <c r="C6" s="6" t="s">
        <v>8</v>
      </c>
      <c r="D6" s="3" t="s">
        <v>9</v>
      </c>
      <c r="E6" s="8" t="s">
        <v>10</v>
      </c>
      <c r="F6" s="3" t="s">
        <v>11</v>
      </c>
      <c r="H6" s="6" t="s">
        <v>12</v>
      </c>
      <c r="I6" s="3" t="s">
        <v>9</v>
      </c>
      <c r="J6" s="8" t="s">
        <v>10</v>
      </c>
      <c r="K6" s="3" t="s">
        <v>11</v>
      </c>
    </row>
    <row r="7" spans="3:11">
      <c r="C7" s="6">
        <v>1</v>
      </c>
      <c r="D7" s="3">
        <v>20.9</v>
      </c>
      <c r="E7" s="6">
        <v>15.3</v>
      </c>
      <c r="F7" s="11">
        <v>5.5</v>
      </c>
      <c r="H7" s="6">
        <v>1</v>
      </c>
      <c r="I7" s="3">
        <v>19.100000000000001</v>
      </c>
      <c r="J7" s="10">
        <v>13.4</v>
      </c>
      <c r="K7" s="3">
        <v>5.6</v>
      </c>
    </row>
    <row r="8" spans="3:11">
      <c r="C8" s="6">
        <v>2</v>
      </c>
      <c r="D8" s="3">
        <v>16.899999999999999</v>
      </c>
      <c r="E8" s="6">
        <v>14.9</v>
      </c>
      <c r="F8" s="3">
        <v>1.9</v>
      </c>
      <c r="H8" s="6">
        <v>2</v>
      </c>
      <c r="I8" s="3">
        <v>17.2</v>
      </c>
      <c r="J8" s="8">
        <v>13.3</v>
      </c>
      <c r="K8" s="3">
        <v>4</v>
      </c>
    </row>
    <row r="9" spans="3:11">
      <c r="C9" s="6">
        <v>3</v>
      </c>
      <c r="D9" s="3">
        <v>15.8</v>
      </c>
      <c r="E9" s="6">
        <v>13</v>
      </c>
      <c r="F9" s="3">
        <v>2.8</v>
      </c>
      <c r="H9" s="6">
        <v>3</v>
      </c>
      <c r="I9" s="3">
        <v>17.5</v>
      </c>
      <c r="J9" s="8">
        <v>14</v>
      </c>
      <c r="K9" s="3">
        <v>3.4</v>
      </c>
    </row>
    <row r="10" spans="3:11">
      <c r="C10" s="6">
        <v>4</v>
      </c>
      <c r="D10" s="3">
        <v>17.100000000000001</v>
      </c>
      <c r="E10" s="6">
        <v>13.3</v>
      </c>
      <c r="F10" s="3">
        <v>4</v>
      </c>
      <c r="H10" s="6">
        <v>4</v>
      </c>
      <c r="I10" s="3">
        <v>18.600000000000001</v>
      </c>
      <c r="J10" s="8">
        <v>16</v>
      </c>
      <c r="K10" s="3">
        <v>2.6</v>
      </c>
    </row>
    <row r="11" spans="3:11">
      <c r="C11" s="6">
        <v>5</v>
      </c>
      <c r="D11" s="3">
        <v>16.100000000000001</v>
      </c>
      <c r="E11" s="6">
        <v>13.7</v>
      </c>
      <c r="F11" s="3">
        <v>2.2000000000000002</v>
      </c>
      <c r="H11" s="6">
        <v>5</v>
      </c>
      <c r="I11" s="3">
        <v>18.5</v>
      </c>
      <c r="J11" s="8">
        <v>13.6</v>
      </c>
      <c r="K11" s="3">
        <v>5</v>
      </c>
    </row>
    <row r="12" spans="3:11">
      <c r="C12" s="6">
        <v>6</v>
      </c>
      <c r="D12" s="3">
        <v>16.2</v>
      </c>
      <c r="E12" s="6">
        <v>13.4</v>
      </c>
      <c r="F12" s="3">
        <v>2.8</v>
      </c>
      <c r="H12" s="6">
        <v>6</v>
      </c>
      <c r="I12" s="3">
        <v>17.899999999999999</v>
      </c>
      <c r="J12" s="8">
        <v>13.7</v>
      </c>
      <c r="K12" s="3">
        <v>4.3</v>
      </c>
    </row>
    <row r="13" spans="3:11">
      <c r="C13" s="6">
        <v>7</v>
      </c>
      <c r="D13" s="3">
        <v>16.7</v>
      </c>
      <c r="E13" s="6">
        <v>13.5</v>
      </c>
      <c r="F13" s="3">
        <v>3.2</v>
      </c>
      <c r="H13" s="6">
        <v>7</v>
      </c>
      <c r="I13" s="3">
        <v>18.7</v>
      </c>
      <c r="J13" s="8">
        <v>13.4</v>
      </c>
      <c r="K13" s="3">
        <v>5.4</v>
      </c>
    </row>
    <row r="14" spans="3:11">
      <c r="C14" s="6">
        <v>8</v>
      </c>
      <c r="D14" s="3">
        <v>16.899999999999999</v>
      </c>
      <c r="E14" s="6">
        <v>13.2</v>
      </c>
      <c r="F14" s="3">
        <v>3.6</v>
      </c>
      <c r="H14" s="6">
        <v>8</v>
      </c>
      <c r="I14" s="3">
        <v>18</v>
      </c>
      <c r="J14" s="3">
        <v>13.4</v>
      </c>
      <c r="K14" s="11">
        <v>4.5999999999999996</v>
      </c>
    </row>
    <row r="15" spans="3:11">
      <c r="C15" s="7">
        <v>9</v>
      </c>
      <c r="D15" s="9">
        <v>17.100000000000001</v>
      </c>
      <c r="E15" s="6">
        <v>13.4</v>
      </c>
      <c r="F15" s="3">
        <v>3.7</v>
      </c>
      <c r="H15" s="7">
        <v>9</v>
      </c>
      <c r="I15" s="9">
        <v>18.899999999999999</v>
      </c>
      <c r="J15" s="3">
        <v>13.4</v>
      </c>
      <c r="K15" s="3">
        <v>5.6</v>
      </c>
    </row>
    <row r="16" spans="3:11">
      <c r="C16" s="9">
        <v>10</v>
      </c>
      <c r="D16" s="9">
        <v>15.4</v>
      </c>
      <c r="E16" s="7">
        <v>13.6</v>
      </c>
      <c r="F16" s="9">
        <v>1.8</v>
      </c>
      <c r="H16" s="3">
        <v>10</v>
      </c>
      <c r="I16" s="3">
        <v>17.7</v>
      </c>
      <c r="J16" s="3">
        <v>13.7</v>
      </c>
      <c r="K16" s="3">
        <v>3.9</v>
      </c>
    </row>
    <row r="17" spans="3:11">
      <c r="C17" s="3">
        <v>11</v>
      </c>
      <c r="D17" s="3">
        <v>16.899999999999999</v>
      </c>
      <c r="E17" s="3">
        <v>13</v>
      </c>
      <c r="F17" s="3">
        <v>3.7</v>
      </c>
      <c r="H17" s="3">
        <v>11</v>
      </c>
      <c r="I17" s="3">
        <v>18.899999999999999</v>
      </c>
      <c r="J17" s="3">
        <v>13.3</v>
      </c>
      <c r="K17" s="3">
        <v>5.5</v>
      </c>
    </row>
    <row r="35" spans="4:9">
      <c r="D35" s="2">
        <f>MIN(D7:D30)</f>
        <v>15.4</v>
      </c>
      <c r="I35" s="2">
        <f>MIN(I7:I28)</f>
        <v>17.2</v>
      </c>
    </row>
    <row r="36" spans="4:9">
      <c r="D36" s="2">
        <f>MAX(D7:D30)</f>
        <v>20.9</v>
      </c>
      <c r="I36" s="2">
        <f>MAX(I7:I28)</f>
        <v>19.100000000000001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C20B6-5A9B-4A83-923B-8FEA004783E6}">
  <dimension ref="C1:K36"/>
  <sheetViews>
    <sheetView showGridLines="0" workbookViewId="0">
      <selection activeCell="I7" sqref="I7"/>
    </sheetView>
  </sheetViews>
  <sheetFormatPr defaultColWidth="10.875" defaultRowHeight="14.25"/>
  <cols>
    <col min="1" max="2" width="10.875" style="2"/>
    <col min="3" max="3" width="9" style="2" bestFit="1" customWidth="1"/>
    <col min="4" max="4" width="18.75" style="2" bestFit="1" customWidth="1"/>
    <col min="5" max="5" width="14.625" style="2" bestFit="1" customWidth="1"/>
    <col min="6" max="6" width="13.875" style="2" bestFit="1" customWidth="1"/>
    <col min="7" max="7" width="13.875" style="2" customWidth="1"/>
    <col min="8" max="8" width="9" style="2" bestFit="1" customWidth="1"/>
    <col min="9" max="9" width="18.75" style="2" bestFit="1" customWidth="1"/>
    <col min="10" max="10" width="14.625" style="2" bestFit="1" customWidth="1"/>
    <col min="11" max="11" width="21.625" style="2" bestFit="1" customWidth="1"/>
    <col min="12" max="16384" width="10.875" style="2"/>
  </cols>
  <sheetData>
    <row r="1" spans="3:11">
      <c r="C1" s="2" t="s">
        <v>13</v>
      </c>
    </row>
    <row r="3" spans="3:11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3:11">
      <c r="C4" s="1">
        <v>0.5</v>
      </c>
      <c r="D4" s="1">
        <v>3</v>
      </c>
      <c r="E4" s="1">
        <v>180</v>
      </c>
      <c r="F4" s="1">
        <v>172</v>
      </c>
      <c r="G4" s="1">
        <v>165</v>
      </c>
      <c r="H4" s="1">
        <v>14</v>
      </c>
    </row>
    <row r="6" spans="3:11">
      <c r="C6" s="6" t="s">
        <v>8</v>
      </c>
      <c r="D6" s="3" t="s">
        <v>9</v>
      </c>
      <c r="E6" s="8" t="s">
        <v>10</v>
      </c>
      <c r="F6" s="3" t="s">
        <v>11</v>
      </c>
      <c r="H6" s="6" t="s">
        <v>12</v>
      </c>
      <c r="I6" s="3" t="s">
        <v>9</v>
      </c>
      <c r="J6" s="8" t="s">
        <v>10</v>
      </c>
      <c r="K6" s="3" t="s">
        <v>11</v>
      </c>
    </row>
    <row r="7" spans="3:11">
      <c r="C7" s="6">
        <v>1</v>
      </c>
      <c r="D7" s="3">
        <v>19.2</v>
      </c>
      <c r="E7" s="6">
        <v>12.6</v>
      </c>
      <c r="F7" s="11">
        <v>6.4</v>
      </c>
      <c r="H7" s="6">
        <v>1</v>
      </c>
      <c r="I7" s="3">
        <v>21</v>
      </c>
      <c r="J7" s="10">
        <v>12.5</v>
      </c>
      <c r="K7" s="3">
        <v>8.4</v>
      </c>
    </row>
    <row r="8" spans="3:11">
      <c r="C8" s="6">
        <v>2</v>
      </c>
      <c r="D8" s="3">
        <v>17.7</v>
      </c>
      <c r="E8" s="6">
        <v>13.3</v>
      </c>
      <c r="F8" s="3">
        <v>4.3</v>
      </c>
      <c r="H8" s="6">
        <v>2</v>
      </c>
      <c r="I8" s="3">
        <v>20.8</v>
      </c>
      <c r="J8" s="8">
        <v>13.6</v>
      </c>
      <c r="K8" s="3">
        <v>7.6</v>
      </c>
    </row>
    <row r="9" spans="3:11">
      <c r="C9" s="6">
        <v>3</v>
      </c>
      <c r="D9" s="3">
        <v>18.899999999999999</v>
      </c>
      <c r="E9" s="6">
        <v>12.5</v>
      </c>
      <c r="F9" s="3">
        <v>6.3</v>
      </c>
      <c r="H9" s="6">
        <v>3</v>
      </c>
      <c r="I9" s="8">
        <v>21.3</v>
      </c>
      <c r="J9" s="8">
        <v>13.2</v>
      </c>
      <c r="K9" s="3">
        <v>8.4</v>
      </c>
    </row>
    <row r="10" spans="3:11">
      <c r="C10" s="6">
        <v>4</v>
      </c>
      <c r="D10" s="3">
        <v>19.399999999999999</v>
      </c>
      <c r="E10" s="6">
        <v>12.8</v>
      </c>
      <c r="F10" s="3">
        <v>6.7</v>
      </c>
      <c r="H10" s="6">
        <v>4</v>
      </c>
      <c r="I10" s="3">
        <v>20.9</v>
      </c>
      <c r="J10" s="8">
        <v>12.8</v>
      </c>
      <c r="K10" s="3">
        <v>8.1</v>
      </c>
    </row>
    <row r="11" spans="3:11">
      <c r="C11" s="6">
        <v>5</v>
      </c>
      <c r="D11" s="3">
        <v>19.100000000000001</v>
      </c>
      <c r="E11" s="6">
        <v>12.3</v>
      </c>
      <c r="F11" s="3">
        <v>6.7</v>
      </c>
      <c r="H11" s="6">
        <v>5</v>
      </c>
      <c r="I11" s="3">
        <v>21.1</v>
      </c>
      <c r="J11" s="8">
        <v>12.5</v>
      </c>
      <c r="K11" s="3">
        <v>8.4</v>
      </c>
    </row>
    <row r="12" spans="3:11">
      <c r="C12" s="6">
        <v>6</v>
      </c>
      <c r="D12" s="3">
        <v>19.399999999999999</v>
      </c>
      <c r="E12" s="6">
        <v>12.7</v>
      </c>
      <c r="F12" s="3">
        <v>6.6</v>
      </c>
      <c r="H12" s="6">
        <v>6</v>
      </c>
      <c r="I12" s="3">
        <v>21.6</v>
      </c>
      <c r="J12" s="8">
        <v>12.8</v>
      </c>
      <c r="K12" s="3">
        <v>9</v>
      </c>
    </row>
    <row r="13" spans="3:11">
      <c r="C13" s="6">
        <v>7</v>
      </c>
      <c r="D13" s="3">
        <v>19.399999999999999</v>
      </c>
      <c r="E13" s="6">
        <v>12.4</v>
      </c>
      <c r="F13" s="3">
        <v>6.8</v>
      </c>
      <c r="H13" s="6">
        <v>7</v>
      </c>
      <c r="I13" s="3">
        <v>20.6</v>
      </c>
      <c r="J13" s="8">
        <v>12.4</v>
      </c>
      <c r="K13" s="3">
        <v>8.1999999999999993</v>
      </c>
    </row>
    <row r="14" spans="3:11">
      <c r="C14" s="6">
        <v>8</v>
      </c>
      <c r="D14" s="3">
        <v>19.399999999999999</v>
      </c>
      <c r="E14" s="6">
        <v>12.4</v>
      </c>
      <c r="F14" s="3">
        <v>7</v>
      </c>
      <c r="H14" s="6">
        <v>8</v>
      </c>
      <c r="I14" s="3">
        <v>20.6</v>
      </c>
      <c r="J14" s="3">
        <v>12.8</v>
      </c>
      <c r="K14" s="11">
        <v>7.9</v>
      </c>
    </row>
    <row r="15" spans="3:11">
      <c r="C15" s="7">
        <v>9</v>
      </c>
      <c r="D15" s="6">
        <v>19.100000000000001</v>
      </c>
      <c r="E15" s="6">
        <v>12.6</v>
      </c>
      <c r="F15" s="3">
        <v>6.1</v>
      </c>
      <c r="H15" s="7">
        <v>9</v>
      </c>
      <c r="I15" s="9">
        <v>20.2</v>
      </c>
      <c r="J15" s="3">
        <v>12.9</v>
      </c>
      <c r="K15" s="3">
        <v>7.3</v>
      </c>
    </row>
    <row r="16" spans="3:11">
      <c r="C16" s="9">
        <v>10</v>
      </c>
      <c r="D16" s="7">
        <v>19.100000000000001</v>
      </c>
      <c r="E16" s="7">
        <v>12.8</v>
      </c>
      <c r="F16" s="9">
        <v>6.3</v>
      </c>
      <c r="H16" s="9">
        <v>10</v>
      </c>
      <c r="I16" s="3">
        <v>21</v>
      </c>
      <c r="J16" s="3">
        <v>12.7</v>
      </c>
      <c r="K16" s="3">
        <v>8.1999999999999993</v>
      </c>
    </row>
    <row r="17" spans="3:11">
      <c r="C17" s="3">
        <v>11</v>
      </c>
      <c r="D17" s="3">
        <v>19</v>
      </c>
      <c r="E17" s="3">
        <v>12.9</v>
      </c>
      <c r="F17" s="3">
        <v>6</v>
      </c>
      <c r="H17" s="9">
        <v>11</v>
      </c>
      <c r="I17" s="9">
        <v>21.3</v>
      </c>
      <c r="J17" s="9">
        <v>12.7</v>
      </c>
      <c r="K17" s="9">
        <v>8.4</v>
      </c>
    </row>
    <row r="18" spans="3:11">
      <c r="C18" s="9">
        <v>12</v>
      </c>
      <c r="D18" s="9">
        <v>19.399999999999999</v>
      </c>
      <c r="E18" s="9">
        <v>14.1</v>
      </c>
      <c r="F18" s="9">
        <v>6.7</v>
      </c>
      <c r="H18" s="3">
        <v>12</v>
      </c>
      <c r="I18" s="3">
        <v>21.1</v>
      </c>
      <c r="J18" s="3">
        <v>13</v>
      </c>
      <c r="K18" s="3">
        <v>8.1</v>
      </c>
    </row>
    <row r="19" spans="3:11">
      <c r="C19" s="3">
        <v>13</v>
      </c>
      <c r="D19" s="3">
        <v>17</v>
      </c>
      <c r="E19" s="3">
        <v>13</v>
      </c>
      <c r="F19" s="3">
        <v>4</v>
      </c>
    </row>
    <row r="35" spans="4:9">
      <c r="D35" s="2">
        <f>MIN(D7:D30)</f>
        <v>17</v>
      </c>
      <c r="I35" s="2">
        <f>MIN(I7:I28)</f>
        <v>20.2</v>
      </c>
    </row>
    <row r="36" spans="4:9">
      <c r="D36" s="2">
        <f>MAX(D7:D30)</f>
        <v>19.399999999999999</v>
      </c>
      <c r="I36" s="2">
        <f>MAX(I7:I28)</f>
        <v>21.6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7D4F-C70D-44AC-BB0B-F350380CEF12}">
  <dimension ref="C1:K43"/>
  <sheetViews>
    <sheetView showGridLines="0" topLeftCell="D22" workbookViewId="0">
      <selection activeCell="J41" sqref="J41"/>
    </sheetView>
  </sheetViews>
  <sheetFormatPr defaultColWidth="10.875" defaultRowHeight="14.25"/>
  <cols>
    <col min="1" max="2" width="10.875" style="2"/>
    <col min="3" max="3" width="9" style="2" bestFit="1" customWidth="1"/>
    <col min="4" max="4" width="18.75" style="2" bestFit="1" customWidth="1"/>
    <col min="5" max="5" width="14.625" style="2" bestFit="1" customWidth="1"/>
    <col min="6" max="6" width="13.875" style="2" bestFit="1" customWidth="1"/>
    <col min="7" max="7" width="13.875" style="2" customWidth="1"/>
    <col min="8" max="8" width="9" style="2" bestFit="1" customWidth="1"/>
    <col min="9" max="9" width="18.75" style="2" bestFit="1" customWidth="1"/>
    <col min="10" max="10" width="14.625" style="2" bestFit="1" customWidth="1"/>
    <col min="11" max="11" width="21.625" style="2" bestFit="1" customWidth="1"/>
    <col min="12" max="16384" width="10.875" style="2"/>
  </cols>
  <sheetData>
    <row r="1" spans="3:11">
      <c r="C1" s="2" t="s">
        <v>13</v>
      </c>
    </row>
    <row r="3" spans="3:11"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</row>
    <row r="4" spans="3:11">
      <c r="C4" s="1">
        <v>0.5</v>
      </c>
      <c r="D4" s="1">
        <v>3</v>
      </c>
      <c r="E4" s="1">
        <v>180</v>
      </c>
      <c r="F4" s="1">
        <v>172</v>
      </c>
      <c r="G4" s="1">
        <v>165</v>
      </c>
      <c r="H4" s="1">
        <v>14</v>
      </c>
    </row>
    <row r="6" spans="3:11">
      <c r="C6" s="6" t="s">
        <v>8</v>
      </c>
      <c r="D6" s="3" t="s">
        <v>9</v>
      </c>
      <c r="E6" s="8" t="s">
        <v>10</v>
      </c>
      <c r="F6" s="3" t="s">
        <v>11</v>
      </c>
      <c r="H6" s="6" t="s">
        <v>12</v>
      </c>
      <c r="I6" s="3" t="s">
        <v>9</v>
      </c>
      <c r="J6" s="8" t="s">
        <v>10</v>
      </c>
      <c r="K6" s="3" t="s">
        <v>11</v>
      </c>
    </row>
    <row r="7" spans="3:11">
      <c r="C7" s="6">
        <v>1</v>
      </c>
      <c r="D7" s="3">
        <v>22</v>
      </c>
      <c r="E7" s="6">
        <v>14.4</v>
      </c>
      <c r="F7" s="11">
        <v>7.4</v>
      </c>
      <c r="H7" s="6">
        <v>1</v>
      </c>
      <c r="I7" s="3">
        <v>19.100000000000001</v>
      </c>
      <c r="J7" s="10">
        <v>13.6</v>
      </c>
      <c r="K7" s="3">
        <v>5.5</v>
      </c>
    </row>
    <row r="8" spans="3:11">
      <c r="C8" s="6">
        <v>2</v>
      </c>
      <c r="D8" s="3">
        <v>17.600000000000001</v>
      </c>
      <c r="E8" s="6">
        <v>13.6</v>
      </c>
      <c r="F8" s="3">
        <v>3.9</v>
      </c>
      <c r="H8" s="6">
        <v>2</v>
      </c>
      <c r="I8" s="3">
        <v>19.399999999999999</v>
      </c>
      <c r="J8" s="8">
        <v>14</v>
      </c>
      <c r="K8" s="3">
        <v>5.5</v>
      </c>
    </row>
    <row r="9" spans="3:11">
      <c r="C9" s="6">
        <v>3</v>
      </c>
      <c r="D9" s="3">
        <v>18.5</v>
      </c>
      <c r="E9" s="6">
        <v>12.6</v>
      </c>
      <c r="F9" s="3">
        <v>5.5</v>
      </c>
      <c r="H9" s="6">
        <v>3</v>
      </c>
      <c r="I9" s="8">
        <v>19.8</v>
      </c>
      <c r="J9" s="8">
        <v>12</v>
      </c>
      <c r="K9" s="3">
        <v>7.7</v>
      </c>
    </row>
    <row r="10" spans="3:11">
      <c r="C10" s="6">
        <v>4</v>
      </c>
      <c r="D10" s="3">
        <v>18</v>
      </c>
      <c r="E10" s="6">
        <v>13.3</v>
      </c>
      <c r="F10" s="3">
        <v>5</v>
      </c>
      <c r="H10" s="6">
        <v>4</v>
      </c>
      <c r="I10" s="3">
        <v>19.3</v>
      </c>
      <c r="J10" s="8">
        <v>13.6</v>
      </c>
      <c r="K10" s="3">
        <v>5.9</v>
      </c>
    </row>
    <row r="11" spans="3:11">
      <c r="C11" s="6">
        <v>5</v>
      </c>
      <c r="D11" s="3">
        <v>18.5</v>
      </c>
      <c r="E11" s="6">
        <v>13.3</v>
      </c>
      <c r="F11" s="3">
        <v>5.3</v>
      </c>
      <c r="H11" s="6">
        <v>5</v>
      </c>
      <c r="I11" s="3">
        <v>20.2</v>
      </c>
      <c r="J11" s="8">
        <v>13.4</v>
      </c>
      <c r="K11" s="3">
        <v>6.6</v>
      </c>
    </row>
    <row r="12" spans="3:11">
      <c r="C12" s="6">
        <v>6</v>
      </c>
      <c r="D12" s="3">
        <v>18.100000000000001</v>
      </c>
      <c r="E12" s="6">
        <v>13.6</v>
      </c>
      <c r="F12" s="3">
        <v>4.5999999999999996</v>
      </c>
      <c r="H12" s="6">
        <v>6</v>
      </c>
      <c r="I12" s="3">
        <v>20.100000000000001</v>
      </c>
      <c r="J12" s="8">
        <v>13.4</v>
      </c>
      <c r="K12" s="3">
        <v>6.6</v>
      </c>
    </row>
    <row r="13" spans="3:11">
      <c r="C13" s="6">
        <v>7</v>
      </c>
      <c r="D13" s="3">
        <v>18.8</v>
      </c>
      <c r="E13" s="6">
        <v>13.4</v>
      </c>
      <c r="F13" s="3">
        <v>5.5</v>
      </c>
      <c r="H13" s="6">
        <v>7</v>
      </c>
      <c r="I13" s="3">
        <v>20.8</v>
      </c>
      <c r="J13" s="8">
        <v>14.3</v>
      </c>
      <c r="K13" s="3">
        <v>6.6</v>
      </c>
    </row>
    <row r="14" spans="3:11">
      <c r="C14" s="6">
        <v>8</v>
      </c>
      <c r="D14" s="3">
        <v>17.8</v>
      </c>
      <c r="E14" s="6">
        <v>12.7</v>
      </c>
      <c r="F14" s="3">
        <v>5.2</v>
      </c>
      <c r="H14" s="6">
        <v>8</v>
      </c>
      <c r="I14" s="3">
        <v>20.3</v>
      </c>
      <c r="J14" s="3">
        <v>13.1</v>
      </c>
      <c r="K14" s="11">
        <v>7</v>
      </c>
    </row>
    <row r="15" spans="3:11">
      <c r="C15" s="7">
        <v>9</v>
      </c>
      <c r="D15" s="6">
        <v>18.899999999999999</v>
      </c>
      <c r="E15" s="6">
        <v>13</v>
      </c>
      <c r="F15" s="3">
        <v>5.5</v>
      </c>
      <c r="H15" s="7">
        <v>9</v>
      </c>
      <c r="I15" s="9">
        <v>20.5</v>
      </c>
      <c r="J15" s="3">
        <v>13.2</v>
      </c>
      <c r="K15" s="3">
        <v>7.5</v>
      </c>
    </row>
    <row r="16" spans="3:11">
      <c r="C16" s="9">
        <v>10</v>
      </c>
      <c r="D16" s="7">
        <v>19</v>
      </c>
      <c r="E16" s="7">
        <v>13.1</v>
      </c>
      <c r="F16" s="9">
        <v>5.9</v>
      </c>
      <c r="H16" s="9">
        <v>10</v>
      </c>
      <c r="I16" s="9">
        <v>20.8</v>
      </c>
      <c r="J16" s="9">
        <v>13</v>
      </c>
      <c r="K16" s="9">
        <v>7.9</v>
      </c>
    </row>
    <row r="17" spans="3:11">
      <c r="C17" s="3">
        <v>11</v>
      </c>
      <c r="D17" s="3">
        <v>19</v>
      </c>
      <c r="E17" s="3">
        <v>13</v>
      </c>
      <c r="F17" s="3">
        <v>5.9</v>
      </c>
      <c r="H17" s="3">
        <v>11</v>
      </c>
      <c r="I17" s="3">
        <v>20.9</v>
      </c>
      <c r="J17" s="3">
        <v>13.1</v>
      </c>
      <c r="K17" s="3">
        <v>7.7</v>
      </c>
    </row>
    <row r="18" spans="3:11">
      <c r="C18" s="9">
        <v>12</v>
      </c>
      <c r="D18" s="9">
        <v>19.2</v>
      </c>
      <c r="E18" s="9">
        <v>13</v>
      </c>
      <c r="F18" s="9">
        <v>6.3</v>
      </c>
      <c r="H18" s="3">
        <v>12</v>
      </c>
      <c r="I18" s="3">
        <v>20.9</v>
      </c>
      <c r="J18" s="3">
        <v>12.3</v>
      </c>
      <c r="K18" s="3">
        <v>8.6</v>
      </c>
    </row>
    <row r="19" spans="3:11">
      <c r="C19" s="9">
        <v>13</v>
      </c>
      <c r="D19" s="9">
        <v>19.3</v>
      </c>
      <c r="E19" s="9">
        <v>13</v>
      </c>
      <c r="F19" s="9">
        <v>6.4</v>
      </c>
      <c r="H19" s="3">
        <v>13</v>
      </c>
      <c r="I19" s="3">
        <v>20.8</v>
      </c>
      <c r="J19" s="3">
        <v>13</v>
      </c>
      <c r="K19" s="3">
        <v>7.9</v>
      </c>
    </row>
    <row r="20" spans="3:11">
      <c r="C20" s="3">
        <v>14</v>
      </c>
      <c r="D20" s="3">
        <v>19.399999999999999</v>
      </c>
      <c r="E20" s="3">
        <v>12.9</v>
      </c>
      <c r="F20" s="3">
        <v>6.6</v>
      </c>
      <c r="H20" s="3">
        <v>14</v>
      </c>
      <c r="I20" s="3">
        <v>21.2</v>
      </c>
      <c r="J20" s="3">
        <v>12.8</v>
      </c>
      <c r="K20" s="3">
        <v>8.3000000000000007</v>
      </c>
    </row>
    <row r="21" spans="3:11">
      <c r="C21" s="3">
        <v>15</v>
      </c>
      <c r="D21" s="3">
        <v>19.2</v>
      </c>
      <c r="E21" s="3">
        <v>12.6</v>
      </c>
      <c r="F21" s="3">
        <v>6.4</v>
      </c>
      <c r="H21" s="3">
        <v>15</v>
      </c>
      <c r="I21" s="3">
        <v>21.2</v>
      </c>
      <c r="J21" s="3">
        <v>13.3</v>
      </c>
      <c r="K21" s="3">
        <v>8.6</v>
      </c>
    </row>
    <row r="22" spans="3:11">
      <c r="C22" s="3">
        <v>16</v>
      </c>
      <c r="D22" s="3">
        <v>19.2</v>
      </c>
      <c r="E22" s="3">
        <v>12.7</v>
      </c>
      <c r="F22" s="3">
        <v>6.4</v>
      </c>
      <c r="H22" s="3">
        <v>16</v>
      </c>
      <c r="I22" s="3">
        <v>21.3</v>
      </c>
      <c r="J22" s="3">
        <v>12.5</v>
      </c>
      <c r="K22" s="3">
        <v>8.4</v>
      </c>
    </row>
    <row r="23" spans="3:11">
      <c r="C23" s="3">
        <v>17</v>
      </c>
      <c r="D23" s="3">
        <v>19.3</v>
      </c>
      <c r="E23" s="3">
        <v>12.9</v>
      </c>
      <c r="F23" s="3">
        <v>6.6</v>
      </c>
      <c r="H23" s="3">
        <v>17</v>
      </c>
      <c r="I23" s="3">
        <v>20.9</v>
      </c>
      <c r="J23" s="3">
        <v>12.7</v>
      </c>
      <c r="K23" s="3">
        <v>8.1999999999999993</v>
      </c>
    </row>
    <row r="24" spans="3:11">
      <c r="C24" s="3">
        <v>18</v>
      </c>
      <c r="D24" s="3">
        <v>19.5</v>
      </c>
      <c r="E24" s="3">
        <v>12.8</v>
      </c>
      <c r="F24" s="3">
        <v>6.7</v>
      </c>
      <c r="H24" s="3">
        <v>18</v>
      </c>
      <c r="I24" s="3">
        <v>21.3</v>
      </c>
      <c r="J24" s="3">
        <v>12.3</v>
      </c>
      <c r="K24" s="3">
        <v>8.6999999999999993</v>
      </c>
    </row>
    <row r="25" spans="3:11">
      <c r="C25" s="3">
        <v>19</v>
      </c>
      <c r="D25" s="3">
        <v>19.2</v>
      </c>
      <c r="E25" s="3">
        <v>12.6</v>
      </c>
      <c r="F25" s="3">
        <v>6.6</v>
      </c>
      <c r="H25" s="3">
        <v>19</v>
      </c>
      <c r="I25" s="3">
        <v>20.9</v>
      </c>
      <c r="J25" s="3">
        <v>12.4</v>
      </c>
      <c r="K25" s="3">
        <v>8.3000000000000007</v>
      </c>
    </row>
    <row r="26" spans="3:11">
      <c r="C26" s="3">
        <v>20</v>
      </c>
      <c r="D26" s="3">
        <v>19.5</v>
      </c>
      <c r="E26" s="3">
        <v>12.8</v>
      </c>
      <c r="F26" s="3">
        <v>7</v>
      </c>
      <c r="H26" s="3">
        <v>20</v>
      </c>
      <c r="I26" s="3">
        <v>20.8</v>
      </c>
      <c r="J26" s="3">
        <v>12.6</v>
      </c>
      <c r="K26" s="3">
        <v>8.1999999999999993</v>
      </c>
    </row>
    <row r="27" spans="3:11">
      <c r="C27" s="3">
        <v>21</v>
      </c>
      <c r="D27" s="3">
        <v>19.3</v>
      </c>
      <c r="E27" s="3">
        <v>12.4</v>
      </c>
      <c r="F27" s="3">
        <v>6.8</v>
      </c>
      <c r="H27" s="3">
        <v>21</v>
      </c>
      <c r="I27" s="3">
        <v>21.4</v>
      </c>
      <c r="J27" s="3">
        <v>12.5</v>
      </c>
      <c r="K27" s="3">
        <v>8.8000000000000007</v>
      </c>
    </row>
    <row r="28" spans="3:11">
      <c r="C28" s="3">
        <v>22</v>
      </c>
      <c r="D28" s="3">
        <v>19.399999999999999</v>
      </c>
      <c r="E28" s="3">
        <v>12.6</v>
      </c>
      <c r="F28" s="3">
        <v>6.9</v>
      </c>
      <c r="H28" s="3">
        <v>22</v>
      </c>
      <c r="I28" s="3">
        <v>21.2</v>
      </c>
      <c r="J28" s="3">
        <v>12.4</v>
      </c>
      <c r="K28" s="3">
        <v>9</v>
      </c>
    </row>
    <row r="29" spans="3:11">
      <c r="C29" s="3">
        <v>23</v>
      </c>
      <c r="D29" s="3">
        <v>19.5</v>
      </c>
      <c r="E29" s="3">
        <v>12.6</v>
      </c>
      <c r="F29" s="3">
        <v>6.8</v>
      </c>
      <c r="H29" s="3">
        <v>23</v>
      </c>
      <c r="I29" s="3">
        <v>21.1</v>
      </c>
      <c r="J29" s="3">
        <v>12.4</v>
      </c>
      <c r="K29" s="3">
        <v>8.6999999999999993</v>
      </c>
    </row>
    <row r="30" spans="3:11">
      <c r="C30" s="3">
        <v>24</v>
      </c>
      <c r="D30" s="3">
        <v>19.5</v>
      </c>
      <c r="E30" s="3">
        <v>12.4</v>
      </c>
      <c r="F30" s="3">
        <v>7</v>
      </c>
      <c r="H30" s="3">
        <v>24</v>
      </c>
      <c r="I30" s="3">
        <v>21.3</v>
      </c>
      <c r="J30" s="3">
        <v>12.3</v>
      </c>
      <c r="K30" s="3">
        <v>8.8000000000000007</v>
      </c>
    </row>
    <row r="31" spans="3:11">
      <c r="C31" s="3">
        <v>25</v>
      </c>
      <c r="D31" s="3">
        <v>18.899999999999999</v>
      </c>
      <c r="E31" s="3">
        <v>12</v>
      </c>
      <c r="F31" s="3">
        <v>6.3</v>
      </c>
      <c r="H31" s="3">
        <v>25</v>
      </c>
      <c r="I31" s="3">
        <v>21.1</v>
      </c>
      <c r="J31" s="3">
        <v>12.2</v>
      </c>
      <c r="K31" s="3">
        <v>8.6</v>
      </c>
    </row>
    <row r="32" spans="3:11">
      <c r="C32" s="3">
        <v>26</v>
      </c>
      <c r="D32" s="3">
        <v>19.399999999999999</v>
      </c>
      <c r="E32" s="3">
        <v>12.6</v>
      </c>
      <c r="F32" s="3">
        <v>6.4</v>
      </c>
      <c r="H32" s="3">
        <v>26</v>
      </c>
      <c r="I32" s="3">
        <v>21.2</v>
      </c>
      <c r="J32" s="3">
        <v>12.9</v>
      </c>
      <c r="K32" s="3">
        <v>8.4</v>
      </c>
    </row>
    <row r="33" spans="3:11">
      <c r="C33" s="3">
        <v>27</v>
      </c>
      <c r="D33" s="3">
        <v>19</v>
      </c>
      <c r="E33" s="3">
        <v>12.3</v>
      </c>
      <c r="F33" s="3">
        <v>6.6</v>
      </c>
      <c r="H33" s="3">
        <v>27</v>
      </c>
      <c r="I33" s="3">
        <v>20.8</v>
      </c>
      <c r="J33" s="3">
        <v>12.4</v>
      </c>
      <c r="K33" s="3">
        <v>8.5</v>
      </c>
    </row>
    <row r="34" spans="3:11">
      <c r="C34" s="3">
        <v>28</v>
      </c>
      <c r="D34" s="3">
        <v>19.2</v>
      </c>
      <c r="E34" s="3">
        <v>12.3</v>
      </c>
      <c r="F34" s="3">
        <v>6.5</v>
      </c>
      <c r="H34" s="3">
        <v>28</v>
      </c>
      <c r="I34" s="3">
        <v>20.7</v>
      </c>
      <c r="J34" s="3">
        <v>12.2</v>
      </c>
      <c r="K34" s="3">
        <v>8.4</v>
      </c>
    </row>
    <row r="35" spans="3:11">
      <c r="C35" s="3">
        <v>29</v>
      </c>
      <c r="D35" s="3">
        <v>19.3</v>
      </c>
      <c r="E35" s="3">
        <v>12.5</v>
      </c>
      <c r="F35" s="3">
        <v>7</v>
      </c>
      <c r="H35" s="3">
        <v>29</v>
      </c>
      <c r="I35" s="3">
        <v>20.9</v>
      </c>
      <c r="J35" s="3">
        <v>12.6</v>
      </c>
      <c r="K35" s="3">
        <v>8.5</v>
      </c>
    </row>
    <row r="36" spans="3:11">
      <c r="C36" s="3">
        <v>30</v>
      </c>
      <c r="D36" s="3">
        <v>19.399999999999999</v>
      </c>
      <c r="E36" s="3">
        <v>12.3</v>
      </c>
      <c r="F36" s="3">
        <v>6.9</v>
      </c>
      <c r="H36" s="3">
        <v>30</v>
      </c>
      <c r="I36" s="3">
        <v>21.2</v>
      </c>
      <c r="J36" s="3">
        <v>12.3</v>
      </c>
      <c r="K36" s="3">
        <v>8.8000000000000007</v>
      </c>
    </row>
    <row r="37" spans="3:11">
      <c r="C37" s="3">
        <v>31</v>
      </c>
      <c r="D37" s="3">
        <v>18.899999999999999</v>
      </c>
      <c r="E37" s="3">
        <v>12.6</v>
      </c>
      <c r="F37" s="3">
        <v>6.4</v>
      </c>
      <c r="H37" s="3">
        <v>31</v>
      </c>
      <c r="I37" s="3">
        <v>20.8</v>
      </c>
      <c r="J37" s="3">
        <v>12.4</v>
      </c>
      <c r="K37" s="3">
        <v>8.1</v>
      </c>
    </row>
    <row r="38" spans="3:11">
      <c r="C38" s="3">
        <v>32</v>
      </c>
      <c r="D38" s="3">
        <v>16.100000000000001</v>
      </c>
      <c r="E38" s="3">
        <v>12</v>
      </c>
      <c r="F38" s="3">
        <v>3.7</v>
      </c>
      <c r="H38" s="3">
        <v>32</v>
      </c>
      <c r="I38" s="3">
        <v>20.2</v>
      </c>
      <c r="J38" s="3">
        <v>12.3</v>
      </c>
      <c r="K38" s="3">
        <v>7.7</v>
      </c>
    </row>
    <row r="39" spans="3:11">
      <c r="C39" s="3">
        <v>33</v>
      </c>
      <c r="D39" s="3">
        <v>18.899999999999999</v>
      </c>
      <c r="E39" s="3">
        <v>12.6</v>
      </c>
      <c r="F39" s="3">
        <v>6.4</v>
      </c>
      <c r="H39" s="3">
        <v>33</v>
      </c>
      <c r="I39" s="3">
        <v>19.5</v>
      </c>
      <c r="J39" s="3">
        <v>12.5</v>
      </c>
      <c r="K39" s="3">
        <v>7</v>
      </c>
    </row>
    <row r="40" spans="3:11">
      <c r="C40" s="3">
        <v>34</v>
      </c>
      <c r="D40" s="3">
        <v>17.899999999999999</v>
      </c>
      <c r="E40" s="3">
        <v>12.4</v>
      </c>
      <c r="F40" s="3">
        <v>5.4</v>
      </c>
      <c r="H40" s="3">
        <v>34</v>
      </c>
      <c r="I40" s="3">
        <v>17.899999999999999</v>
      </c>
      <c r="J40" s="3">
        <v>12.4</v>
      </c>
      <c r="K40" s="3">
        <v>5.3</v>
      </c>
    </row>
    <row r="41" spans="3:11">
      <c r="C41" s="3">
        <v>35</v>
      </c>
      <c r="D41" s="3">
        <v>16.600000000000001</v>
      </c>
      <c r="E41" s="3">
        <v>12.2</v>
      </c>
      <c r="F41" s="3">
        <v>4.0999999999999996</v>
      </c>
      <c r="H41" s="3">
        <v>35</v>
      </c>
      <c r="I41" s="3">
        <v>17.899999999999999</v>
      </c>
      <c r="J41" s="3">
        <v>12.2</v>
      </c>
      <c r="K41" s="3">
        <v>5.4</v>
      </c>
    </row>
    <row r="42" spans="3:11">
      <c r="C42" s="3">
        <v>36</v>
      </c>
      <c r="D42" s="3">
        <v>16.399999999999999</v>
      </c>
      <c r="E42" s="3">
        <v>12.6</v>
      </c>
      <c r="F42" s="3">
        <v>3.8</v>
      </c>
      <c r="H42" s="3">
        <v>36</v>
      </c>
      <c r="I42" s="3">
        <v>18.100000000000001</v>
      </c>
      <c r="J42" s="3">
        <v>12.5</v>
      </c>
      <c r="K42" s="3">
        <v>5.6</v>
      </c>
    </row>
    <row r="43" spans="3:11">
      <c r="C43" s="3">
        <v>37</v>
      </c>
      <c r="D43" s="3">
        <v>16.5</v>
      </c>
      <c r="E43" s="3">
        <v>2.4</v>
      </c>
      <c r="F43" s="3">
        <v>3.8</v>
      </c>
      <c r="H43" s="3">
        <v>37</v>
      </c>
      <c r="I43" s="3">
        <v>16.600000000000001</v>
      </c>
      <c r="J43" s="3">
        <v>12.1</v>
      </c>
      <c r="K43" s="3">
        <v>4.0999999999999996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tadjou tchota</dc:creator>
  <cp:keywords/>
  <dc:description/>
  <cp:lastModifiedBy>tadjou tchota</cp:lastModifiedBy>
  <cp:revision/>
  <dcterms:created xsi:type="dcterms:W3CDTF">2026-08-28T15:48:44Z</dcterms:created>
  <dcterms:modified xsi:type="dcterms:W3CDTF">2026-09-24T09:56:21Z</dcterms:modified>
  <cp:category/>
  <cp:contentStatus/>
</cp:coreProperties>
</file>